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e548cd6bd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控管紀錄" sheetId="1" r:id="Rbb6de9f13e444065"/>
    <x:sheet xmlns:r="http://schemas.openxmlformats.org/officeDocument/2006/relationships" name="需求管理紀錄" sheetId="2" r:id="Re16326c596c3450f"/>
  </x:sheets>
</x:workbook>
</file>

<file path=xl/comments1.xml><?xml version="1.0" encoding="utf-8"?>
<x:comments xmlns:x="http://schemas.openxmlformats.org/spreadsheetml/2006/main">
  <x:authors>
    <x:author/>
  </x:authors>
  <x:commentList>
    <x:comment ref="G5" authorId="0">
      <x:text>
        <x:r>
          <x:t>版本來源：https://github.com/peterchen0122/DREAMS1.0/blob/27925065c8c23644ffb5c53c2143fc5b661df336/pyproject.toml#L7
版本基準：27925065c8c23644ffb5c53c2143fc5b661df336
原始備註：版本來自專案設定，日期取提交日期；測試清單屬操作規範，不能視為通過紀錄。
原始驗證說明：待補驗證紀錄
已檢視的功能提交：
https://github.com/peterchen0122/DREAMS1.0/commit/27925065c8c23644ffb5c53c2143fc5b661df336
2026-07-28T15:14:40+08:00｜twapd｜no message
https://github.com/peterchen0122/DREAMS1.0/commit/dbec60465ea1fbbeecb8334ef445d0b81de0e547
2026-06-22T18:39:36+08:00｜twapd｜no message
https://github.com/peterchen0122/DREAMS1.0/commit/24f09b6ded597eb3c8d54d11965e4322f5b1fcb2
2026-05-28T18:54:28+08:00｜twapd｜no message
https://github.com/peterchen0122/DREAMS1.0/commit/83e7a348db4cda2b7c8fb603618dee8a8c25d6b0
2026-05-28T18:48:28+08:00｜twapd｜測試驗證
https://github.com/peterchen0122/DREAMS1.0/commit/35eff9e92c166a3abc2e46bf344753040ded1e2e
2026-05-28T18:15:37+08:00｜twapd｜Initial DREAMS outstation project
對應需求：REQ-001、REQ-002、REQ-003、REQ-004、REQ-005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H5" authorId="0">
      <x:text>
        <x:r>
          <x:t>依提交的實際程式差異整理；不代表客戶原始提出或已驗收。
https://github.com/peterchen0122/DREAMS1.0/commit/27925065c8c23644ffb5c53c2143fc5b661df336
提交日期：2026-07-28T15:14:40+08:00
作者：twapd
標題：no message
異動檔案：
README.md
docs/ITRI_DREAMS_TEST_VALIDATION.md
docs/PV_LOGGER_MQTT_TECH_SPEC.md
src/dreams_outstation/dnp3_gateway.py
src/dreams_outstation/service.py
src/dreams_outstation/state.py
src/dreams_outstation/web_ui.py
tests/test_dnp3_gateway.py
tests/test_dnp3_master_ui.py
tests/test_service.py
tests/test_state.py
tests/test_web_ui.py
tools/dnp3_master_ui.py</x:t>
        </x:r>
      </x:text>
    </x:comment>
    <x:comment ref="H6" authorId="0">
      <x:text>
        <x:r>
          <x:t>依提交的實際程式差異整理；不代表客戶原始提出或已驗收。
https://github.com/peterchen0122/DREAMS1.0/commit/dbec60465ea1fbbeecb8334ef445d0b81de0e547
提交日期：2026-06-22T18:39:36+08:00
作者：twapd
標題：no message
異動檔案：
README.md
config/config.example.yaml
docs/ITRI_DREAMS_TEST_VALIDATION.md
docs/PV_LOGGER_MQTT_TECH_SPEC.md
src/dreams_outstation/config.py
src/dreams_outstation/dnp3_gateway.py
src/dreams_outstation/service.py
src/dreams_outstation/state.py
src/dreams_outstation/web_ui.py
tests/test_config.py
tests/test_dnp3_gateway.py
tests/test_dnp3_master_ui.py
tests/test_points.py
tests/test_service.py
tests/test_state.py
tools/dnp3_master_simulator.py
tools/dnp3_master_ui.py</x:t>
        </x:r>
      </x:text>
    </x:comment>
    <x:comment ref="H7" authorId="0">
      <x:text>
        <x:r>
          <x:t>依提交的實際程式差異整理；不代表客戶原始提出或已驗收。
https://github.com/peterchen0122/DREAMS1.0/commit/24f09b6ded597eb3c8d54d11965e4322f5b1fcb2
提交日期：2026-05-28T18:54:28+08:00
作者：twapd
標題：no message
異動檔案：
docs/ITRI_DREAMS_TEST_VALIDATION.md
src/dreams_outstation/service.py
tests/test_dnp3_master_ui.py
tests/test_service.py
tools/dnp3_master_ui.py</x:t>
        </x:r>
      </x:text>
    </x:comment>
    <x:comment ref="H8" authorId="0">
      <x:text>
        <x:r>
          <x:t>依提交的實際程式差異整理；不代表客戶原始提出或已驗收。
https://github.com/peterchen0122/DREAMS1.0/commit/83e7a348db4cda2b7c8fb603618dee8a8c25d6b0
提交日期：2026-05-28T18:48:28+08:00
作者：twapd
標題：測試驗證
異動檔案：
README.md
docs/ITRI_DREAMS_TEST_VALIDATION.md
docs/PV_LOGGER_MQTT_TECH_SPEC.md
src/dreams_outstation/dnp3_gateway.py
src/dreams_outstation/service.py
tests/test_dnp3_master_ui.py
tests/test_service.py
tools/dnp3_master_ui.py</x:t>
        </x:r>
      </x:text>
    </x:comment>
    <x:comment ref="H9" authorId="0">
      <x:text>
        <x:r>
          <x:t>依提交的實際程式差異整理；不代表客戶原始提出或已驗收。
https://github.com/peterchen0122/DREAMS1.0/commit/35eff9e92c166a3abc2e46bf344753040ded1e2e
提交日期：2026-05-28T18:15:37+08:00
作者：twapd
標題：Initial DREAMS outstation project
異動檔案：
.gitignore
"DREAMS\345\202\263\350\274\270\351\234\200\346\261\202\346\212\200\350\241\223\350\246\217\347\257\204\346\221\230\350\246\201.pdf"
README.md
config/config.example.yaml
deploy/dreams-outstation.service
docs/PV_LOGGER_MQTT_TECH_SPEC.md
pyproject.toml
requirements-dnp3.txt
requirements.txt
src/dreams_outstation/__init__.py
src/dreams_outstation/__main__.py
src/dreams_outstation/buffer.py
src/dreams_outstation/command_log.py
src/dreams_outstation/config.py
src/dreams_outstation/dnp3_gateway.py
src/dreams_outstation/dreams_api.py
src/dreams_outstation/logging_config.py
src/dreams_outstation/models.py
src/dreams_outstation/mqtt_client.py
src/dreams_outstation/points.py
src/dreams_outstation/service.py
src/dreams_outstation/site_bindings.py
src/dreams_outstation/state.py
src/dreams_outstation/web_ui.py
tests/test_buffer.py
tests/test_command_log.py
tests/test_config.py
tests/test_dnp3_master_ui.py
tests/test_dreams_api.py
tests/test_mqtt_client.py
tests/test_points.py
tests/test_service.py
tests/test_site_bindings.py
tests/test_state.py
tests/test_web_ui.py
tools/dnp3_master_simulator.py
tools/dnp3_master_ui.py
"\345\206\215\347\224\237\350\203\275\346\272\220\347\233\243\346\216\247\350\250\255\345\202\231\350\251\246\351\251\227\345\217\212\347\256\241\347\220\206\350\246\217\347\257\204-\345\206\215\347\224\237\350\203\275\346\272\220\347\233\243\346\216\247\350\250\255\345\202\231\351\233\262\347\253\257\350\263\207\346\226\231\347\263\273\347\265\261\350\251\246\351\251\227\345\217\212\347\256\241\347\220\206\350\246\217\347\257\204\345\217\212\345\205\266\345\202\263\350\274\270\351\234\200\346\261\202\346\212\200\350\241\223\350\246\217\347\257\204\346\221\230\350\246\201qa.pdf"
"\345\206\215\347\224\237\350\203\275\346\272\220\347\233\243\346\216\247\350\250\255\345\202\231\351\233\262\347\253\257\350\263\207\346\226\231\347\263\273\347\265\261\350\251\246\351\251\227\345\217\212\347\256\241\347\220\206\350\246\217\347\257\204.pdf"
"\345\267\245\347\240\224\351\231\242Dreams\351\233\262\347\253\257\346\270\254\350\251\246\350\246\217\347\257\204\350\252\252\346\230\216_20250918.pdf"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<x:sst xmlns:x="http://schemas.openxmlformats.org/spreadsheetml/2006/main">
  <x:si>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狀態統計</x:t>
  </x:si>
  <x:si>
    <x:t xml:space="preserve">狀態</x:t>
  </x:si>
  <x:si>
    <x:t xml:space="preserve">筆數</x:t>
  </x:si>
  <x:si>
    <x:t xml:space="preserve">未開始</x:t>
  </x:si>
  <x:si>
    <x:t xml:space="preserve">版本編號</x:t>
  </x:si>
  <x:si>
    <x:t xml:space="preserve">異動日期</x:t>
  </x:si>
  <x:si>
    <x:t xml:space="preserve">關聯需求編號</x:t>
  </x:si>
  <x:si>
    <x:t xml:space="preserve">異動內容摘要</x:t>
  </x:si>
  <x:si>
    <x:t xml:space="preserve">修改人</x:t>
  </x:si>
  <x:si>
    <x:t xml:space="preserve">備註</x:t>
  </x:si>
  <x:si>
    <x:t xml:space="preserve">進行中</x:t>
  </x:si>
  <x:si>
    <x:t xml:space="preserve">待確認</x:t>
  </x:si>
  <x:si>
    <x:t xml:space="preserve">已完成</x:t>
  </x:si>
  <x:si>
    <x:t xml:space="preserve">已取消</x:t>
  </x:si>
  <x:si>
    <x:t xml:space="preserve">總筆數</x:t>
  </x:si>
  <x:si>
    <x:t xml:space="preserve">需求編號</x:t>
  </x:si>
  <x:si>
    <x:t xml:space="preserve">提出日期</x:t>
  </x:si>
  <x:si>
    <x:t xml:space="preserve">客戶/單位</x:t>
  </x:si>
  <x:si>
    <x:t xml:space="preserve">提出人</x:t>
  </x:si>
  <x:si>
    <x:t xml:space="preserve">需求描述</x:t>
  </x:si>
  <x:si>
    <x:t xml:space="preserve">期望完成日</x:t>
  </x:si>
  <x:si>
    <x:t xml:space="preserve">備註/溝通紀錄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</x:si>
</x:sst>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@"/>
  </x:numFmts>
  <x:fonts count="8">
    <x:font>
      <x:sz val="11"/>
      <x:name val="Carlito"/>
    </x:font>
    <x:font>
      <x:b/>
      <x:sz val="10"/>
      <x:color rgb="FFFFFFFF"/>
      <x:name val="Microsoft JhengHei"/>
    </x:font>
    <x:font>
      <x:sz val="10"/>
      <x:name val="Microsoft JhengHei"/>
    </x:font>
    <x:font>
      <x:sz val="10"/>
      <x:color rgb="FF1F2937"/>
      <x:name val="Microsoft JhengHei"/>
    </x:font>
    <x:font>
      <x:b/>
      <x:sz val="10"/>
      <x:color rgb="FF111827"/>
      <x:name val="Microsoft JhengHei"/>
    </x:font>
    <x:font>
      <x:sz val="11"/>
      <x:name val="Carlito"/>
    </x:font>
    <x:font>
      <x:sz val="9"/>
      <x:name val="細明體"/>
    </x:font>
    <x:font>
      <x:sz val="10"/>
      <x:name val="Tahoma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1">
    <x:border/>
  </x:borders>
  <x:cellStyleXfs count="2">
    <x:xf numFmtId="0" fontId="0" fillId="0" borderId="0"/>
    <x:xf numFmtId="0" fontId="5" fillId="0" borderId="0"/>
  </x:cellStyleXfs>
  <x:cellXfs count="11">
    <x:xf numFmtId="0" fontId="0" fillId="0" borderId="0" xfId="0"/>
    <x:xf numFmtId="0" fontId="2" fillId="0" borderId="0" xfId="1" applyNumberFormat="1" applyFont="1" applyFill="1" applyBorder="1"/>
    <x:xf numFmtId="0" fontId="1" fillId="4" borderId="0" xfId="1" applyNumberFormat="1" applyFont="1" applyFill="1" applyBorder="1" applyAlignment="1">
      <x:alignment horizontal="center" vertical="center" wrapText="1"/>
    </x:xf>
    <x:xf numFmtId="0" fontId="4" fillId="6" borderId="0" xfId="1" applyNumberFormat="1" applyFont="1" applyFill="1" applyBorder="1" applyAlignment="1">
      <x:alignment horizontal="left" vertical="center"/>
    </x:xf>
    <x:xf numFmtId="0" fontId="4" fillId="7" borderId="0" xfId="1" applyNumberFormat="1" applyFont="1" applyFill="1" applyBorder="1" applyAlignment="1">
      <x:alignment horizontal="center" vertical="center"/>
    </x:xf>
    <x:xf numFmtId="0" fontId="2" fillId="0" borderId="0" xfId="1" applyNumberFormat="1" applyFont="1" applyFill="1" applyBorder="1" applyAlignment="1">
      <x:alignment vertical="top" wrapText="1"/>
    </x:xf>
    <x:xf numFmtId="176" fontId="2" fillId="0" borderId="0" xfId="1" applyNumberFormat="1" applyFont="1" applyFill="1" applyBorder="1" applyAlignment="1">
      <x:alignment vertical="top" wrapText="1"/>
    </x:xf>
    <x:xf numFmtId="0" fontId="1" fillId="2" borderId="0" xfId="1" applyNumberFormat="1" applyFont="1" applyFill="1" applyBorder="1" applyAlignment="1">
      <x:alignment horizontal="center" vertical="center"/>
    </x:xf>
    <x:xf numFmtId="0" fontId="3" fillId="3" borderId="0" xfId="1" applyNumberFormat="1" applyFont="1" applyFill="1" applyBorder="1" applyAlignment="1">
      <x:alignment horizontal="left" vertical="center" wrapText="1"/>
    </x:xf>
    <x:xf numFmtId="0" fontId="1" fillId="5" borderId="0" xfId="1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top" wrapText="1"/>
    </x:xf>
  </x:cellXfs>
  <x:cellStyles count="2">
    <x:cellStyle name="Normal" xfId="1"/>
    <x:cellStyle name="一般" xfId="0"/>
  </x:cellStyles>
  <x:dxfs count="10"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3F4F6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f2cbc99ac44e2" /><Relationship Type="http://schemas.openxmlformats.org/officeDocument/2006/relationships/theme" Target="/xl/theme/theme1.xml" Id="Rca502a3451124122" /><Relationship Type="http://schemas.openxmlformats.org/officeDocument/2006/relationships/sharedStrings" Target="/xl/sharedStrings.xml" Id="Re9e3e3eba6364ed4" /><Relationship Type="http://schemas.openxmlformats.org/officeDocument/2006/relationships/worksheet" Target="/xl/worksheets/sheet1.xml" Id="Rbb6de9f13e444065" /><Relationship Type="http://schemas.openxmlformats.org/officeDocument/2006/relationships/worksheet" Target="/xl/worksheets/sheet2.xml" Id="Re16326c596c3450f" /></Relationships>
</file>

<file path=xl/tables/table1.xml><?xml version="1.0" encoding="utf-8"?>
<x:table xmlns:x="http://schemas.openxmlformats.org/spreadsheetml/2006/main" id="1" name="VersionControlTable" displayName="VersionControlTable" ref="A4:G104">
  <x:tableColumns count="7">
    <x:tableColumn id="1" name="版本編號"/>
    <x:tableColumn id="2" name="異動日期"/>
    <x:tableColumn id="3" name="關聯需求編號"/>
    <x:tableColumn id="6" name="異動內容摘要"/>
    <x:tableColumn id="7" name="修改人"/>
    <x:tableColumn id="8" name="狀態"/>
    <x:tableColumn id="9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ManagementTable" displayName="RequirementManagementTable" ref="A4:H104">
  <x:tableColumns count="8">
    <x:tableColumn id="1" name="需求編號"/>
    <x:tableColumn id="2" name="提出日期"/>
    <x:tableColumn id="3" name="客戶/單位"/>
    <x:tableColumn id="4" name="提出人"/>
    <x:tableColumn id="7" name="需求描述"/>
    <x:tableColumn id="8" name="期望完成日"/>
    <x:tableColumn id="10" name="狀態"/>
    <x:tableColumn id="11" name="備註/溝通紀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0c2da938b0d45ea" /><Relationship Type="http://schemas.openxmlformats.org/officeDocument/2006/relationships/vmlDrawing" Target="/xl/drawings/vmldrawing.vml" Id="Ra911bd59d7b24cb0" /><Relationship Type="http://schemas.openxmlformats.org/officeDocument/2006/relationships/table" Target="/xl/tables/table1.xml" Id="R6728090c019345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29ddd5c44c441b5" /><Relationship Type="http://schemas.openxmlformats.org/officeDocument/2006/relationships/vmlDrawing" Target="/xl/drawings/vmldrawing2.vml" Id="R07fc471ec4ab47d5" /><Relationship Type="http://schemas.openxmlformats.org/officeDocument/2006/relationships/table" Target="/xl/tables/table2.xml" Id="Ra2180db051884e32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4" customWidth="1"/>
    <x:col min="2" max="2" width="13" customWidth="1"/>
    <x:col min="3" max="3" width="16" customWidth="1"/>
    <x:col min="4" max="4" width="50.796875" customWidth="1"/>
    <x:col min="5" max="5" width="16.796875" customWidth="1"/>
    <x:col min="6" max="6" width="14" customWidth="1"/>
    <x:col min="7" max="7" width="30" customWidth="1"/>
    <x:col min="9" max="9" width="14" customWidth="1"/>
    <x:col min="10" max="10" width="10" customWidth="1"/>
  </x:cols>
  <x:sheetData>
    <x:row r="1" ht="22.350000381469727" customHeight="1">
      <x:c r="A1" s="7" t="str">
        <x:v>DREAMS1.0 版本控管紀錄</x:v>
      </x:c>
      <x:c r="B1" s="7"/>
      <x:c r="C1" s="7"/>
      <x:c r="D1" s="7"/>
      <x:c r="E1" s="7"/>
      <x:c r="F1" s="7"/>
      <x:c r="G1" s="7"/>
      <x:c r="H1" s="1"/>
      <x:c r="I1" s="9" t="s">
        <x:v>0</x:v>
      </x:c>
      <x:c r="J1" s="9"/>
    </x:row>
    <x:row r="2" ht="34" customHeight="1">
      <x:c r="A2" s="8" t="str">
        <x:v>異動內容依程式提交整理，修改人依 commit 作者。發布／驗收未核對者為「待確認」；完整來源見備註附註。</x:v>
      </x:c>
      <x:c r="B2" s="8"/>
      <x:c r="C2" s="8"/>
      <x:c r="D2" s="8"/>
      <x:c r="E2" s="8"/>
      <x:c r="F2" s="8"/>
      <x:c r="G2" s="8"/>
      <x:c r="H2" s="1"/>
      <x:c r="I2" s="2" t="s">
        <x:v>1</x:v>
      </x:c>
      <x:c r="J2" s="2" t="s">
        <x:v>2</x:v>
      </x:c>
    </x:row>
    <x:row r="3" ht="14.399999618530273">
      <x:c r="A3" s="1"/>
      <x:c r="B3" s="1"/>
      <x:c r="C3" s="1"/>
      <x:c r="D3" s="1"/>
      <x:c r="E3" s="1"/>
      <x:c r="F3" s="1"/>
      <x:c r="G3" s="1"/>
      <x:c r="H3" s="1"/>
      <x:c r="I3" s="3" t="s">
        <x:v>3</x:v>
      </x:c>
      <x:c r="J3" s="4" t="n">
        <x:f>COUNTIF($F$5:$F$104,"未開始")</x:f>
        <x:v>0</x:v>
      </x:c>
    </x:row>
    <x:row r="4" ht="19.200000762939453" customHeight="1">
      <x:c r="A4" s="2" t="s">
        <x:v>4</x:v>
      </x:c>
      <x:c r="B4" s="2" t="s">
        <x:v>5</x:v>
      </x:c>
      <x:c r="C4" s="2" t="s">
        <x:v>6</x:v>
      </x:c>
      <x:c r="D4" s="2" t="s">
        <x:v>7</x:v>
      </x:c>
      <x:c r="E4" s="2" t="s">
        <x:v>8</x:v>
      </x:c>
      <x:c r="F4" s="2" t="s">
        <x:v>1</x:v>
      </x:c>
      <x:c r="G4" s="2" t="s">
        <x:v>9</x:v>
      </x:c>
      <x:c r="H4" s="1"/>
      <x:c r="I4" s="3" t="s">
        <x:v>10</x:v>
      </x:c>
      <x:c r="J4" s="4" t="n">
        <x:f>COUNTIF($F$5:$F$104,"進行中")</x:f>
        <x:v>0</x:v>
      </x:c>
    </x:row>
    <x:row r="5" ht="64" customHeight="1">
      <x:c r="A5" s="10" t="str">
        <x:v>0.1.0</x:v>
      </x:c>
      <x:c r="B5" s="6" t="n">
        <x:v>46231</x:v>
      </x:c>
      <x:c r="C5" s="5" t="str">
        <x:v>REQ-001～
REQ-005</x:v>
      </x:c>
      <x:c r="D5" s="5" t="str">
        <x:v>建立 DNP3／MQTT 點位與 Web 監看；加入多站輪詢、完整快照後啟動及事件時間處理。最新修正保留原始值、離線鎖定、保活與工作失敗判定。</x:v>
      </x:c>
      <x:c r="E5" s="5" t="str">
        <x:v>twapd</x:v>
      </x:c>
      <x:c r="F5" s="5" t="str">
        <x:v>待確認</x:v>
      </x:c>
      <x:c r="G5" s="5" t="str">
        <x:v>0.1.0 程式累積紀錄；無發行標籤，發布待確認。</x:v>
      </x:c>
      <x:c r="H5" s="1"/>
      <x:c r="I5" s="3" t="s">
        <x:v>11</x:v>
      </x:c>
      <x:c r="J5" s="4" t="n">
        <x:f>COUNTIF($F$5:$F$104,"待確認")</x:f>
        <x:v>1</x:v>
      </x:c>
    </x:row>
    <x:row r="6" ht="16.799999237060547" customHeight="1">
      <x:c r="A6" s="10"/>
      <x:c r="B6" s="6"/>
      <x:c r="C6" s="5"/>
      <x:c r="D6" s="5"/>
      <x:c r="E6" s="5"/>
      <x:c r="F6" s="5"/>
      <x:c r="G6" s="5"/>
      <x:c r="H6" s="1"/>
      <x:c r="I6" s="3" t="s">
        <x:v>12</x:v>
      </x:c>
      <x:c r="J6" s="4" t="n">
        <x:f>COUNTIF($F$5:$F$104,"已完成")</x:f>
        <x:v>0</x:v>
      </x:c>
    </x:row>
    <x:row r="7" ht="16.799999237060547" customHeight="1">
      <x:c r="A7" s="10"/>
      <x:c r="B7" s="6"/>
      <x:c r="C7" s="5"/>
      <x:c r="D7" s="5"/>
      <x:c r="E7" s="5"/>
      <x:c r="F7" s="5"/>
      <x:c r="G7" s="5"/>
      <x:c r="H7" s="1"/>
      <x:c r="I7" s="3" t="s">
        <x:v>13</x:v>
      </x:c>
      <x:c r="J7" s="4" t="n">
        <x:f>COUNTIF($F$5:$F$104,"已取消")</x:f>
        <x:v>0</x:v>
      </x:c>
    </x:row>
    <x:row r="8" ht="16.799999237060547" customHeight="1">
      <x:c r="A8" s="10"/>
      <x:c r="B8" s="6"/>
      <x:c r="C8" s="5"/>
      <x:c r="D8" s="5"/>
      <x:c r="E8" s="5"/>
      <x:c r="F8" s="5"/>
      <x:c r="G8" s="5"/>
      <x:c r="H8" s="1"/>
      <x:c r="I8" s="3" t="s">
        <x:v>14</x:v>
      </x:c>
      <x:c r="J8" s="4" t="n">
        <x:f>SUM(J3:J7)</x:f>
        <x:v>1</x:v>
      </x:c>
    </x:row>
    <x:row r="9" ht="16.799999237060547" customHeight="1">
      <x:c r="A9" s="10"/>
      <x:c r="B9" s="6"/>
      <x:c r="C9" s="5"/>
      <x:c r="D9" s="5"/>
      <x:c r="E9" s="5"/>
      <x:c r="F9" s="5"/>
      <x:c r="G9" s="5"/>
      <x:c r="H9" s="1"/>
      <x:c r="I9" s="1"/>
      <x:c r="J9" s="1"/>
    </x:row>
    <x:row r="10" ht="16.799999237060547" customHeight="1">
      <x:c r="A10" s="10"/>
      <x:c r="B10" s="6"/>
      <x:c r="C10" s="5"/>
      <x:c r="D10" s="5"/>
      <x:c r="E10" s="5"/>
      <x:c r="F10" s="5"/>
      <x:c r="G10" s="5"/>
      <x:c r="H10" s="1"/>
      <x:c r="I10" s="1"/>
      <x:c r="J10" s="1"/>
    </x:row>
    <x:row r="11" ht="16.799999237060547" customHeight="1">
      <x:c r="A11" s="10"/>
      <x:c r="B11" s="6"/>
      <x:c r="C11" s="5"/>
      <x:c r="D11" s="5"/>
      <x:c r="E11" s="5"/>
      <x:c r="F11" s="5"/>
      <x:c r="G11" s="5"/>
      <x:c r="H11" s="1"/>
      <x:c r="I11" s="1"/>
      <x:c r="J11" s="1"/>
    </x:row>
    <x:row r="12" ht="16.799999237060547" customHeight="1">
      <x:c r="A12" s="10"/>
      <x:c r="B12" s="6"/>
      <x:c r="C12" s="5"/>
      <x:c r="D12" s="5"/>
      <x:c r="E12" s="5"/>
      <x:c r="F12" s="5"/>
      <x:c r="G12" s="5"/>
      <x:c r="H12" s="1"/>
      <x:c r="I12" s="1"/>
      <x:c r="J12" s="1"/>
    </x:row>
    <x:row r="13" ht="16.799999237060547" customHeight="1">
      <x:c r="A13" s="10"/>
      <x:c r="B13" s="6"/>
      <x:c r="C13" s="5"/>
      <x:c r="D13" s="5"/>
      <x:c r="E13" s="5"/>
      <x:c r="F13" s="5"/>
      <x:c r="G13" s="5"/>
      <x:c r="H13" s="1"/>
      <x:c r="I13" s="1"/>
      <x:c r="J13" s="1"/>
    </x:row>
    <x:row r="14" ht="16.799999237060547" customHeight="1">
      <x:c r="A14" s="10"/>
      <x:c r="B14" s="6"/>
      <x:c r="C14" s="5"/>
      <x:c r="D14" s="5"/>
      <x:c r="E14" s="5"/>
      <x:c r="F14" s="5"/>
      <x:c r="G14" s="5"/>
      <x:c r="H14" s="1"/>
      <x:c r="I14" s="1"/>
      <x:c r="J14" s="1"/>
    </x:row>
    <x:row r="15" ht="16.799999237060547" customHeight="1">
      <x:c r="A15" s="10"/>
      <x:c r="B15" s="6"/>
      <x:c r="C15" s="5"/>
      <x:c r="D15" s="5"/>
      <x:c r="E15" s="5"/>
      <x:c r="F15" s="5"/>
      <x:c r="G15" s="5"/>
      <x:c r="H15" s="1"/>
      <x:c r="I15" s="1"/>
      <x:c r="J15" s="1"/>
    </x:row>
    <x:row r="16" ht="16.799999237060547" customHeight="1">
      <x:c r="A16" s="10"/>
      <x:c r="B16" s="6"/>
      <x:c r="C16" s="5"/>
      <x:c r="D16" s="5"/>
      <x:c r="E16" s="5"/>
      <x:c r="F16" s="5"/>
      <x:c r="G16" s="5"/>
      <x:c r="H16" s="1"/>
      <x:c r="I16" s="1"/>
      <x:c r="J16" s="1"/>
    </x:row>
    <x:row r="17" ht="16.799999237060547" customHeight="1">
      <x:c r="A17" s="10"/>
      <x:c r="B17" s="6"/>
      <x:c r="C17" s="5"/>
      <x:c r="D17" s="5"/>
      <x:c r="E17" s="5"/>
      <x:c r="F17" s="5"/>
      <x:c r="G17" s="5"/>
      <x:c r="H17" s="1"/>
      <x:c r="I17" s="1"/>
      <x:c r="J17" s="1"/>
    </x:row>
    <x:row r="18" ht="16.799999237060547" customHeight="1">
      <x:c r="A18" s="10"/>
      <x:c r="B18" s="6"/>
      <x:c r="C18" s="5"/>
      <x:c r="D18" s="5"/>
      <x:c r="E18" s="5"/>
      <x:c r="F18" s="5"/>
      <x:c r="G18" s="5"/>
      <x:c r="H18" s="1"/>
      <x:c r="I18" s="1"/>
      <x:c r="J18" s="1"/>
    </x:row>
    <x:row r="19" ht="16.799999237060547" customHeight="1">
      <x:c r="A19" s="10"/>
      <x:c r="B19" s="6"/>
      <x:c r="C19" s="5"/>
      <x:c r="D19" s="5"/>
      <x:c r="E19" s="5"/>
      <x:c r="F19" s="5"/>
      <x:c r="G19" s="5"/>
      <x:c r="H19" s="1"/>
      <x:c r="I19" s="1"/>
      <x:c r="J19" s="1"/>
    </x:row>
    <x:row r="20" ht="16.799999237060547" customHeight="1">
      <x:c r="A20" s="10"/>
      <x:c r="B20" s="6"/>
      <x:c r="C20" s="5"/>
      <x:c r="D20" s="5"/>
      <x:c r="E20" s="5"/>
      <x:c r="F20" s="5"/>
      <x:c r="G20" s="5"/>
      <x:c r="H20" s="1"/>
      <x:c r="I20" s="1"/>
      <x:c r="J20" s="1"/>
    </x:row>
    <x:row r="21" ht="16.799999237060547" customHeight="1">
      <x:c r="A21" s="10"/>
      <x:c r="B21" s="6"/>
      <x:c r="C21" s="5"/>
      <x:c r="D21" s="5"/>
      <x:c r="E21" s="5"/>
      <x:c r="F21" s="5"/>
      <x:c r="G21" s="5"/>
      <x:c r="H21" s="1"/>
      <x:c r="I21" s="1"/>
      <x:c r="J21" s="1"/>
    </x:row>
    <x:row r="22" ht="16.799999237060547" customHeight="1">
      <x:c r="A22" s="10"/>
      <x:c r="B22" s="6"/>
      <x:c r="C22" s="5"/>
      <x:c r="D22" s="5"/>
      <x:c r="E22" s="5"/>
      <x:c r="F22" s="5"/>
      <x:c r="G22" s="5"/>
      <x:c r="H22" s="1"/>
      <x:c r="I22" s="1"/>
      <x:c r="J22" s="1"/>
    </x:row>
    <x:row r="23" ht="16.799999237060547" customHeight="1">
      <x:c r="A23" s="10"/>
      <x:c r="B23" s="6"/>
      <x:c r="C23" s="5"/>
      <x:c r="D23" s="5"/>
      <x:c r="E23" s="5"/>
      <x:c r="F23" s="5"/>
      <x:c r="G23" s="5"/>
      <x:c r="H23" s="1"/>
      <x:c r="I23" s="1"/>
      <x:c r="J23" s="1"/>
    </x:row>
    <x:row r="24" ht="16.799999237060547" customHeight="1">
      <x:c r="A24" s="10"/>
      <x:c r="B24" s="6"/>
      <x:c r="C24" s="5"/>
      <x:c r="D24" s="5"/>
      <x:c r="E24" s="5"/>
      <x:c r="F24" s="5"/>
      <x:c r="G24" s="5"/>
      <x:c r="H24" s="1"/>
      <x:c r="I24" s="1"/>
      <x:c r="J24" s="1"/>
    </x:row>
    <x:row r="25" ht="16.799999237060547" customHeight="1">
      <x:c r="A25" s="10"/>
      <x:c r="B25" s="6"/>
      <x:c r="C25" s="5"/>
      <x:c r="D25" s="5"/>
      <x:c r="E25" s="5"/>
      <x:c r="F25" s="5"/>
      <x:c r="G25" s="5"/>
      <x:c r="H25" s="1"/>
      <x:c r="I25" s="1"/>
      <x:c r="J25" s="1"/>
    </x:row>
    <x:row r="26" ht="16.799999237060547" customHeight="1">
      <x:c r="A26" s="10"/>
      <x:c r="B26" s="6"/>
      <x:c r="C26" s="5"/>
      <x:c r="D26" s="5"/>
      <x:c r="E26" s="5"/>
      <x:c r="F26" s="5"/>
      <x:c r="G26" s="5"/>
      <x:c r="H26" s="1"/>
      <x:c r="I26" s="1"/>
      <x:c r="J26" s="1"/>
    </x:row>
    <x:row r="27" ht="16.799999237060547" customHeight="1">
      <x:c r="A27" s="10"/>
      <x:c r="B27" s="6"/>
      <x:c r="C27" s="5"/>
      <x:c r="D27" s="5"/>
      <x:c r="E27" s="5"/>
      <x:c r="F27" s="5"/>
      <x:c r="G27" s="5"/>
      <x:c r="H27" s="1"/>
      <x:c r="I27" s="1"/>
      <x:c r="J27" s="1"/>
    </x:row>
    <x:row r="28" ht="16.799999237060547" customHeight="1">
      <x:c r="A28" s="10"/>
      <x:c r="B28" s="6"/>
      <x:c r="C28" s="5"/>
      <x:c r="D28" s="5"/>
      <x:c r="E28" s="5"/>
      <x:c r="F28" s="5"/>
      <x:c r="G28" s="5"/>
      <x:c r="H28" s="1"/>
      <x:c r="I28" s="1"/>
      <x:c r="J28" s="1"/>
    </x:row>
    <x:row r="29" ht="16.799999237060547" customHeight="1">
      <x:c r="A29" s="10"/>
      <x:c r="B29" s="6"/>
      <x:c r="C29" s="5"/>
      <x:c r="D29" s="5"/>
      <x:c r="E29" s="5"/>
      <x:c r="F29" s="5"/>
      <x:c r="G29" s="5"/>
      <x:c r="H29" s="1"/>
      <x:c r="I29" s="1"/>
      <x:c r="J29" s="1"/>
    </x:row>
    <x:row r="30" ht="16.799999237060547" customHeight="1">
      <x:c r="A30" s="10"/>
      <x:c r="B30" s="6"/>
      <x:c r="C30" s="5"/>
      <x:c r="D30" s="5"/>
      <x:c r="E30" s="5"/>
      <x:c r="F30" s="5"/>
      <x:c r="G30" s="5"/>
      <x:c r="H30" s="1"/>
      <x:c r="I30" s="1"/>
      <x:c r="J30" s="1"/>
    </x:row>
    <x:row r="31" ht="16.799999237060547" customHeight="1">
      <x:c r="A31" s="10"/>
      <x:c r="B31" s="6"/>
      <x:c r="C31" s="5"/>
      <x:c r="D31" s="5"/>
      <x:c r="E31" s="5"/>
      <x:c r="F31" s="5"/>
      <x:c r="G31" s="5"/>
      <x:c r="H31" s="1"/>
      <x:c r="I31" s="1"/>
      <x:c r="J31" s="1"/>
    </x:row>
    <x:row r="32" ht="16.799999237060547" customHeight="1">
      <x:c r="A32" s="10"/>
      <x:c r="B32" s="6"/>
      <x:c r="C32" s="5"/>
      <x:c r="D32" s="5"/>
      <x:c r="E32" s="5"/>
      <x:c r="F32" s="5"/>
      <x:c r="G32" s="5"/>
      <x:c r="H32" s="1"/>
      <x:c r="I32" s="1"/>
      <x:c r="J32" s="1"/>
    </x:row>
    <x:row r="33" ht="16.799999237060547" customHeight="1">
      <x:c r="A33" s="10"/>
      <x:c r="B33" s="6"/>
      <x:c r="C33" s="5"/>
      <x:c r="D33" s="5"/>
      <x:c r="E33" s="5"/>
      <x:c r="F33" s="5"/>
      <x:c r="G33" s="5"/>
      <x:c r="H33" s="1"/>
      <x:c r="I33" s="1"/>
      <x:c r="J33" s="1"/>
    </x:row>
    <x:row r="34" ht="16.799999237060547" customHeight="1">
      <x:c r="A34" s="10"/>
      <x:c r="B34" s="6"/>
      <x:c r="C34" s="5"/>
      <x:c r="D34" s="5"/>
      <x:c r="E34" s="5"/>
      <x:c r="F34" s="5"/>
      <x:c r="G34" s="5"/>
      <x:c r="H34" s="1"/>
      <x:c r="I34" s="1"/>
      <x:c r="J34" s="1"/>
    </x:row>
    <x:row r="35" ht="16.799999237060547" customHeight="1">
      <x:c r="A35" s="10"/>
      <x:c r="B35" s="6"/>
      <x:c r="C35" s="5"/>
      <x:c r="D35" s="5"/>
      <x:c r="E35" s="5"/>
      <x:c r="F35" s="5"/>
      <x:c r="G35" s="5"/>
      <x:c r="H35" s="1"/>
      <x:c r="I35" s="1"/>
      <x:c r="J35" s="1"/>
    </x:row>
    <x:row r="36" ht="16.799999237060547" customHeight="1">
      <x:c r="A36" s="10"/>
      <x:c r="B36" s="6"/>
      <x:c r="C36" s="5"/>
      <x:c r="D36" s="5"/>
      <x:c r="E36" s="5"/>
      <x:c r="F36" s="5"/>
      <x:c r="G36" s="5"/>
      <x:c r="H36" s="1"/>
      <x:c r="I36" s="1"/>
      <x:c r="J36" s="1"/>
    </x:row>
    <x:row r="37" ht="16.799999237060547" customHeight="1">
      <x:c r="A37" s="10"/>
      <x:c r="B37" s="6"/>
      <x:c r="C37" s="5"/>
      <x:c r="D37" s="5"/>
      <x:c r="E37" s="5"/>
      <x:c r="F37" s="5"/>
      <x:c r="G37" s="5"/>
      <x:c r="H37" s="1"/>
      <x:c r="I37" s="1"/>
      <x:c r="J37" s="1"/>
    </x:row>
    <x:row r="38" ht="16.799999237060547" customHeight="1">
      <x:c r="A38" s="10"/>
      <x:c r="B38" s="6"/>
      <x:c r="C38" s="5"/>
      <x:c r="D38" s="5"/>
      <x:c r="E38" s="5"/>
      <x:c r="F38" s="5"/>
      <x:c r="G38" s="5"/>
      <x:c r="H38" s="1"/>
      <x:c r="I38" s="1"/>
      <x:c r="J38" s="1"/>
    </x:row>
    <x:row r="39" ht="16.799999237060547" customHeight="1">
      <x:c r="A39" s="10"/>
      <x:c r="B39" s="6"/>
      <x:c r="C39" s="5"/>
      <x:c r="D39" s="5"/>
      <x:c r="E39" s="5"/>
      <x:c r="F39" s="5"/>
      <x:c r="G39" s="5"/>
      <x:c r="H39" s="1"/>
      <x:c r="I39" s="1"/>
      <x:c r="J39" s="1"/>
    </x:row>
    <x:row r="40" ht="16.799999237060547" customHeight="1">
      <x:c r="A40" s="10"/>
      <x:c r="B40" s="6"/>
      <x:c r="C40" s="5"/>
      <x:c r="D40" s="5"/>
      <x:c r="E40" s="5"/>
      <x:c r="F40" s="5"/>
      <x:c r="G40" s="5"/>
      <x:c r="H40" s="1"/>
      <x:c r="I40" s="1"/>
      <x:c r="J40" s="1"/>
    </x:row>
    <x:row r="41" ht="16.799999237060547" customHeight="1">
      <x:c r="A41" s="10"/>
      <x:c r="B41" s="6"/>
      <x:c r="C41" s="5"/>
      <x:c r="D41" s="5"/>
      <x:c r="E41" s="5"/>
      <x:c r="F41" s="5"/>
      <x:c r="G41" s="5"/>
      <x:c r="H41" s="1"/>
      <x:c r="I41" s="1"/>
      <x:c r="J41" s="1"/>
    </x:row>
    <x:row r="42" ht="16.799999237060547" customHeight="1">
      <x:c r="A42" s="10"/>
      <x:c r="B42" s="6"/>
      <x:c r="C42" s="5"/>
      <x:c r="D42" s="5"/>
      <x:c r="E42" s="5"/>
      <x:c r="F42" s="5"/>
      <x:c r="G42" s="5"/>
      <x:c r="H42" s="1"/>
      <x:c r="I42" s="1"/>
      <x:c r="J42" s="1"/>
    </x:row>
    <x:row r="43" ht="16.799999237060547" customHeight="1">
      <x:c r="A43" s="10"/>
      <x:c r="B43" s="6"/>
      <x:c r="C43" s="5"/>
      <x:c r="D43" s="5"/>
      <x:c r="E43" s="5"/>
      <x:c r="F43" s="5"/>
      <x:c r="G43" s="5"/>
      <x:c r="H43" s="1"/>
      <x:c r="I43" s="1"/>
      <x:c r="J43" s="1"/>
    </x:row>
    <x:row r="44" ht="16.799999237060547" customHeight="1">
      <x:c r="A44" s="10"/>
      <x:c r="B44" s="6"/>
      <x:c r="C44" s="5"/>
      <x:c r="D44" s="5"/>
      <x:c r="E44" s="5"/>
      <x:c r="F44" s="5"/>
      <x:c r="G44" s="5"/>
      <x:c r="H44" s="1"/>
      <x:c r="I44" s="1"/>
      <x:c r="J44" s="1"/>
    </x:row>
    <x:row r="45" ht="16.799999237060547" customHeight="1">
      <x:c r="A45" s="10"/>
      <x:c r="B45" s="6"/>
      <x:c r="C45" s="5"/>
      <x:c r="D45" s="5"/>
      <x:c r="E45" s="5"/>
      <x:c r="F45" s="5"/>
      <x:c r="G45" s="5"/>
      <x:c r="H45" s="1"/>
      <x:c r="I45" s="1"/>
      <x:c r="J45" s="1"/>
    </x:row>
    <x:row r="46" ht="16.799999237060547" customHeight="1">
      <x:c r="A46" s="10"/>
      <x:c r="B46" s="6"/>
      <x:c r="C46" s="5"/>
      <x:c r="D46" s="5"/>
      <x:c r="E46" s="5"/>
      <x:c r="F46" s="5"/>
      <x:c r="G46" s="5"/>
      <x:c r="H46" s="1"/>
      <x:c r="I46" s="1"/>
      <x:c r="J46" s="1"/>
    </x:row>
    <x:row r="47" ht="16.799999237060547" customHeight="1">
      <x:c r="A47" s="10"/>
      <x:c r="B47" s="6"/>
      <x:c r="C47" s="5"/>
      <x:c r="D47" s="5"/>
      <x:c r="E47" s="5"/>
      <x:c r="F47" s="5"/>
      <x:c r="G47" s="5"/>
      <x:c r="H47" s="1"/>
      <x:c r="I47" s="1"/>
      <x:c r="J47" s="1"/>
    </x:row>
    <x:row r="48" ht="16.799999237060547" customHeight="1">
      <x:c r="A48" s="10"/>
      <x:c r="B48" s="6"/>
      <x:c r="C48" s="5"/>
      <x:c r="D48" s="5"/>
      <x:c r="E48" s="5"/>
      <x:c r="F48" s="5"/>
      <x:c r="G48" s="5"/>
      <x:c r="H48" s="1"/>
      <x:c r="I48" s="1"/>
      <x:c r="J48" s="1"/>
    </x:row>
    <x:row r="49" ht="16.799999237060547" customHeight="1">
      <x:c r="A49" s="10"/>
      <x:c r="B49" s="6"/>
      <x:c r="C49" s="5"/>
      <x:c r="D49" s="5"/>
      <x:c r="E49" s="5"/>
      <x:c r="F49" s="5"/>
      <x:c r="G49" s="5"/>
      <x:c r="H49" s="1"/>
      <x:c r="I49" s="1"/>
      <x:c r="J49" s="1"/>
    </x:row>
    <x:row r="50" ht="16.799999237060547" customHeight="1">
      <x:c r="A50" s="10"/>
      <x:c r="B50" s="6"/>
      <x:c r="C50" s="5"/>
      <x:c r="D50" s="5"/>
      <x:c r="E50" s="5"/>
      <x:c r="F50" s="5"/>
      <x:c r="G50" s="5"/>
      <x:c r="H50" s="1"/>
      <x:c r="I50" s="1"/>
      <x:c r="J50" s="1"/>
    </x:row>
    <x:row r="51" ht="16.799999237060547" customHeight="1">
      <x:c r="A51" s="10"/>
      <x:c r="B51" s="6"/>
      <x:c r="C51" s="5"/>
      <x:c r="D51" s="5"/>
      <x:c r="E51" s="5"/>
      <x:c r="F51" s="5"/>
      <x:c r="G51" s="5"/>
      <x:c r="H51" s="1"/>
      <x:c r="I51" s="1"/>
      <x:c r="J51" s="1"/>
    </x:row>
    <x:row r="52" ht="16.799999237060547" customHeight="1">
      <x:c r="A52" s="10"/>
      <x:c r="B52" s="6"/>
      <x:c r="C52" s="5"/>
      <x:c r="D52" s="5"/>
      <x:c r="E52" s="5"/>
      <x:c r="F52" s="5"/>
      <x:c r="G52" s="5"/>
      <x:c r="H52" s="1"/>
      <x:c r="I52" s="1"/>
      <x:c r="J52" s="1"/>
    </x:row>
    <x:row r="53" ht="16.799999237060547" customHeight="1">
      <x:c r="A53" s="10"/>
      <x:c r="B53" s="6"/>
      <x:c r="C53" s="5"/>
      <x:c r="D53" s="5"/>
      <x:c r="E53" s="5"/>
      <x:c r="F53" s="5"/>
      <x:c r="G53" s="5"/>
      <x:c r="H53" s="1"/>
      <x:c r="I53" s="1"/>
      <x:c r="J53" s="1"/>
    </x:row>
    <x:row r="54" ht="16.799999237060547" customHeight="1">
      <x:c r="A54" s="10"/>
      <x:c r="B54" s="6"/>
      <x:c r="C54" s="5"/>
      <x:c r="D54" s="5"/>
      <x:c r="E54" s="5"/>
      <x:c r="F54" s="5"/>
      <x:c r="G54" s="5"/>
      <x:c r="H54" s="1"/>
      <x:c r="I54" s="1"/>
      <x:c r="J54" s="1"/>
    </x:row>
    <x:row r="55" ht="16.799999237060547" customHeight="1">
      <x:c r="A55" s="10"/>
      <x:c r="B55" s="6"/>
      <x:c r="C55" s="5"/>
      <x:c r="D55" s="5"/>
      <x:c r="E55" s="5"/>
      <x:c r="F55" s="5"/>
      <x:c r="G55" s="5"/>
      <x:c r="H55" s="1"/>
      <x:c r="I55" s="1"/>
      <x:c r="J55" s="1"/>
    </x:row>
    <x:row r="56" ht="16.799999237060547" customHeight="1">
      <x:c r="A56" s="10"/>
      <x:c r="B56" s="6"/>
      <x:c r="C56" s="5"/>
      <x:c r="D56" s="5"/>
      <x:c r="E56" s="5"/>
      <x:c r="F56" s="5"/>
      <x:c r="G56" s="5"/>
      <x:c r="H56" s="1"/>
      <x:c r="I56" s="1"/>
      <x:c r="J56" s="1"/>
    </x:row>
    <x:row r="57" ht="16.799999237060547" customHeight="1">
      <x:c r="A57" s="10"/>
      <x:c r="B57" s="6"/>
      <x:c r="C57" s="5"/>
      <x:c r="D57" s="5"/>
      <x:c r="E57" s="5"/>
      <x:c r="F57" s="5"/>
      <x:c r="G57" s="5"/>
      <x:c r="H57" s="1"/>
      <x:c r="I57" s="1"/>
      <x:c r="J57" s="1"/>
    </x:row>
    <x:row r="58" ht="16.799999237060547" customHeight="1">
      <x:c r="A58" s="10"/>
      <x:c r="B58" s="6"/>
      <x:c r="C58" s="5"/>
      <x:c r="D58" s="5"/>
      <x:c r="E58" s="5"/>
      <x:c r="F58" s="5"/>
      <x:c r="G58" s="5"/>
      <x:c r="H58" s="1"/>
      <x:c r="I58" s="1"/>
      <x:c r="J58" s="1"/>
    </x:row>
    <x:row r="59" ht="16.799999237060547" customHeight="1">
      <x:c r="A59" s="10"/>
      <x:c r="B59" s="6"/>
      <x:c r="C59" s="5"/>
      <x:c r="D59" s="5"/>
      <x:c r="E59" s="5"/>
      <x:c r="F59" s="5"/>
      <x:c r="G59" s="5"/>
      <x:c r="H59" s="1"/>
      <x:c r="I59" s="1"/>
      <x:c r="J59" s="1"/>
    </x:row>
    <x:row r="60" ht="16.799999237060547" customHeight="1">
      <x:c r="A60" s="10"/>
      <x:c r="B60" s="6"/>
      <x:c r="C60" s="5"/>
      <x:c r="D60" s="5"/>
      <x:c r="E60" s="5"/>
      <x:c r="F60" s="5"/>
      <x:c r="G60" s="5"/>
      <x:c r="H60" s="1"/>
      <x:c r="I60" s="1"/>
      <x:c r="J60" s="1"/>
    </x:row>
    <x:row r="61" ht="16.799999237060547" customHeight="1">
      <x:c r="A61" s="10"/>
      <x:c r="B61" s="6"/>
      <x:c r="C61" s="5"/>
      <x:c r="D61" s="5"/>
      <x:c r="E61" s="5"/>
      <x:c r="F61" s="5"/>
      <x:c r="G61" s="5"/>
      <x:c r="H61" s="1"/>
      <x:c r="I61" s="1"/>
      <x:c r="J61" s="1"/>
    </x:row>
    <x:row r="62" ht="16.799999237060547" customHeight="1">
      <x:c r="A62" s="10"/>
      <x:c r="B62" s="6"/>
      <x:c r="C62" s="5"/>
      <x:c r="D62" s="5"/>
      <x:c r="E62" s="5"/>
      <x:c r="F62" s="5"/>
      <x:c r="G62" s="5"/>
      <x:c r="H62" s="1"/>
      <x:c r="I62" s="1"/>
      <x:c r="J62" s="1"/>
    </x:row>
    <x:row r="63" ht="16.799999237060547" customHeight="1">
      <x:c r="A63" s="10"/>
      <x:c r="B63" s="6"/>
      <x:c r="C63" s="5"/>
      <x:c r="D63" s="5"/>
      <x:c r="E63" s="5"/>
      <x:c r="F63" s="5"/>
      <x:c r="G63" s="5"/>
      <x:c r="H63" s="1"/>
      <x:c r="I63" s="1"/>
      <x:c r="J63" s="1"/>
    </x:row>
    <x:row r="64" ht="16.799999237060547" customHeight="1">
      <x:c r="A64" s="10"/>
      <x:c r="B64" s="6"/>
      <x:c r="C64" s="5"/>
      <x:c r="D64" s="5"/>
      <x:c r="E64" s="5"/>
      <x:c r="F64" s="5"/>
      <x:c r="G64" s="5"/>
      <x:c r="H64" s="1"/>
      <x:c r="I64" s="1"/>
      <x:c r="J64" s="1"/>
    </x:row>
    <x:row r="65" ht="16.799999237060547" customHeight="1">
      <x:c r="A65" s="10"/>
      <x:c r="B65" s="6"/>
      <x:c r="C65" s="5"/>
      <x:c r="D65" s="5"/>
      <x:c r="E65" s="5"/>
      <x:c r="F65" s="5"/>
      <x:c r="G65" s="5"/>
      <x:c r="H65" s="1"/>
      <x:c r="I65" s="1"/>
      <x:c r="J65" s="1"/>
    </x:row>
    <x:row r="66" ht="16.799999237060547" customHeight="1">
      <x:c r="A66" s="10"/>
      <x:c r="B66" s="6"/>
      <x:c r="C66" s="5"/>
      <x:c r="D66" s="5"/>
      <x:c r="E66" s="5"/>
      <x:c r="F66" s="5"/>
      <x:c r="G66" s="5"/>
      <x:c r="H66" s="1"/>
      <x:c r="I66" s="1"/>
      <x:c r="J66" s="1"/>
    </x:row>
    <x:row r="67" ht="16.799999237060547" customHeight="1">
      <x:c r="A67" s="10"/>
      <x:c r="B67" s="6"/>
      <x:c r="C67" s="5"/>
      <x:c r="D67" s="5"/>
      <x:c r="E67" s="5"/>
      <x:c r="F67" s="5"/>
      <x:c r="G67" s="5"/>
      <x:c r="H67" s="1"/>
      <x:c r="I67" s="1"/>
      <x:c r="J67" s="1"/>
    </x:row>
    <x:row r="68" ht="16.799999237060547" customHeight="1">
      <x:c r="A68" s="10"/>
      <x:c r="B68" s="6"/>
      <x:c r="C68" s="5"/>
      <x:c r="D68" s="5"/>
      <x:c r="E68" s="5"/>
      <x:c r="F68" s="5"/>
      <x:c r="G68" s="5"/>
      <x:c r="H68" s="1"/>
      <x:c r="I68" s="1"/>
      <x:c r="J68" s="1"/>
    </x:row>
    <x:row r="69" ht="16.799999237060547" customHeight="1">
      <x:c r="A69" s="10"/>
      <x:c r="B69" s="6"/>
      <x:c r="C69" s="5"/>
      <x:c r="D69" s="5"/>
      <x:c r="E69" s="5"/>
      <x:c r="F69" s="5"/>
      <x:c r="G69" s="5"/>
      <x:c r="H69" s="1"/>
      <x:c r="I69" s="1"/>
      <x:c r="J69" s="1"/>
    </x:row>
    <x:row r="70" ht="16.799999237060547" customHeight="1">
      <x:c r="A70" s="10"/>
      <x:c r="B70" s="6"/>
      <x:c r="C70" s="5"/>
      <x:c r="D70" s="5"/>
      <x:c r="E70" s="5"/>
      <x:c r="F70" s="5"/>
      <x:c r="G70" s="5"/>
      <x:c r="H70" s="1"/>
      <x:c r="I70" s="1"/>
      <x:c r="J70" s="1"/>
    </x:row>
    <x:row r="71" ht="16.799999237060547" customHeight="1">
      <x:c r="A71" s="10"/>
      <x:c r="B71" s="6"/>
      <x:c r="C71" s="5"/>
      <x:c r="D71" s="5"/>
      <x:c r="E71" s="5"/>
      <x:c r="F71" s="5"/>
      <x:c r="G71" s="5"/>
      <x:c r="H71" s="1"/>
      <x:c r="I71" s="1"/>
      <x:c r="J71" s="1"/>
    </x:row>
    <x:row r="72" ht="16.799999237060547" customHeight="1">
      <x:c r="A72" s="10"/>
      <x:c r="B72" s="6"/>
      <x:c r="C72" s="5"/>
      <x:c r="D72" s="5"/>
      <x:c r="E72" s="5"/>
      <x:c r="F72" s="5"/>
      <x:c r="G72" s="5"/>
      <x:c r="H72" s="1"/>
      <x:c r="I72" s="1"/>
      <x:c r="J72" s="1"/>
    </x:row>
    <x:row r="73" ht="16.799999237060547" customHeight="1">
      <x:c r="A73" s="10"/>
      <x:c r="B73" s="6"/>
      <x:c r="C73" s="5"/>
      <x:c r="D73" s="5"/>
      <x:c r="E73" s="5"/>
      <x:c r="F73" s="5"/>
      <x:c r="G73" s="5"/>
      <x:c r="H73" s="1"/>
      <x:c r="I73" s="1"/>
      <x:c r="J73" s="1"/>
    </x:row>
    <x:row r="74" ht="16.799999237060547" customHeight="1">
      <x:c r="A74" s="10"/>
      <x:c r="B74" s="6"/>
      <x:c r="C74" s="5"/>
      <x:c r="D74" s="5"/>
      <x:c r="E74" s="5"/>
      <x:c r="F74" s="5"/>
      <x:c r="G74" s="5"/>
      <x:c r="H74" s="1"/>
      <x:c r="I74" s="1"/>
      <x:c r="J74" s="1"/>
    </x:row>
    <x:row r="75" ht="16.799999237060547" customHeight="1">
      <x:c r="A75" s="10"/>
      <x:c r="B75" s="6"/>
      <x:c r="C75" s="5"/>
      <x:c r="D75" s="5"/>
      <x:c r="E75" s="5"/>
      <x:c r="F75" s="5"/>
      <x:c r="G75" s="5"/>
      <x:c r="H75" s="1"/>
      <x:c r="I75" s="1"/>
      <x:c r="J75" s="1"/>
    </x:row>
    <x:row r="76" ht="16.799999237060547" customHeight="1">
      <x:c r="A76" s="10"/>
      <x:c r="B76" s="6"/>
      <x:c r="C76" s="5"/>
      <x:c r="D76" s="5"/>
      <x:c r="E76" s="5"/>
      <x:c r="F76" s="5"/>
      <x:c r="G76" s="5"/>
      <x:c r="H76" s="1"/>
      <x:c r="I76" s="1"/>
      <x:c r="J76" s="1"/>
    </x:row>
    <x:row r="77" ht="16.799999237060547" customHeight="1">
      <x:c r="A77" s="10"/>
      <x:c r="B77" s="6"/>
      <x:c r="C77" s="5"/>
      <x:c r="D77" s="5"/>
      <x:c r="E77" s="5"/>
      <x:c r="F77" s="5"/>
      <x:c r="G77" s="5"/>
      <x:c r="H77" s="1"/>
      <x:c r="I77" s="1"/>
      <x:c r="J77" s="1"/>
    </x:row>
    <x:row r="78" ht="16.799999237060547" customHeight="1">
      <x:c r="A78" s="10"/>
      <x:c r="B78" s="6"/>
      <x:c r="C78" s="5"/>
      <x:c r="D78" s="5"/>
      <x:c r="E78" s="5"/>
      <x:c r="F78" s="5"/>
      <x:c r="G78" s="5"/>
      <x:c r="H78" s="1"/>
      <x:c r="I78" s="1"/>
      <x:c r="J78" s="1"/>
    </x:row>
    <x:row r="79" ht="16.799999237060547" customHeight="1">
      <x:c r="A79" s="10"/>
      <x:c r="B79" s="6"/>
      <x:c r="C79" s="5"/>
      <x:c r="D79" s="5"/>
      <x:c r="E79" s="5"/>
      <x:c r="F79" s="5"/>
      <x:c r="G79" s="5"/>
      <x:c r="H79" s="1"/>
      <x:c r="I79" s="1"/>
      <x:c r="J79" s="1"/>
    </x:row>
    <x:row r="80" ht="16.799999237060547" customHeight="1">
      <x:c r="A80" s="10"/>
      <x:c r="B80" s="6"/>
      <x:c r="C80" s="5"/>
      <x:c r="D80" s="5"/>
      <x:c r="E80" s="5"/>
      <x:c r="F80" s="5"/>
      <x:c r="G80" s="5"/>
      <x:c r="H80" s="1"/>
      <x:c r="I80" s="1"/>
      <x:c r="J80" s="1"/>
    </x:row>
    <x:row r="81" ht="16.799999237060547" customHeight="1">
      <x:c r="A81" s="10"/>
      <x:c r="B81" s="6"/>
      <x:c r="C81" s="5"/>
      <x:c r="D81" s="5"/>
      <x:c r="E81" s="5"/>
      <x:c r="F81" s="5"/>
      <x:c r="G81" s="5"/>
      <x:c r="H81" s="1"/>
      <x:c r="I81" s="1"/>
      <x:c r="J81" s="1"/>
    </x:row>
    <x:row r="82" ht="16.799999237060547" customHeight="1">
      <x:c r="A82" s="10"/>
      <x:c r="B82" s="6"/>
      <x:c r="C82" s="5"/>
      <x:c r="D82" s="5"/>
      <x:c r="E82" s="5"/>
      <x:c r="F82" s="5"/>
      <x:c r="G82" s="5"/>
      <x:c r="H82" s="1"/>
      <x:c r="I82" s="1"/>
      <x:c r="J82" s="1"/>
    </x:row>
    <x:row r="83" ht="16.799999237060547" customHeight="1">
      <x:c r="A83" s="10"/>
      <x:c r="B83" s="6"/>
      <x:c r="C83" s="5"/>
      <x:c r="D83" s="5"/>
      <x:c r="E83" s="5"/>
      <x:c r="F83" s="5"/>
      <x:c r="G83" s="5"/>
      <x:c r="H83" s="1"/>
      <x:c r="I83" s="1"/>
      <x:c r="J83" s="1"/>
    </x:row>
    <x:row r="84" ht="16.799999237060547" customHeight="1">
      <x:c r="A84" s="10"/>
      <x:c r="B84" s="6"/>
      <x:c r="C84" s="5"/>
      <x:c r="D84" s="5"/>
      <x:c r="E84" s="5"/>
      <x:c r="F84" s="5"/>
      <x:c r="G84" s="5"/>
      <x:c r="H84" s="1"/>
      <x:c r="I84" s="1"/>
      <x:c r="J84" s="1"/>
    </x:row>
    <x:row r="85" ht="16.799999237060547" customHeight="1">
      <x:c r="A85" s="10"/>
      <x:c r="B85" s="6"/>
      <x:c r="C85" s="5"/>
      <x:c r="D85" s="5"/>
      <x:c r="E85" s="5"/>
      <x:c r="F85" s="5"/>
      <x:c r="G85" s="5"/>
      <x:c r="H85" s="1"/>
      <x:c r="I85" s="1"/>
      <x:c r="J85" s="1"/>
    </x:row>
    <x:row r="86" ht="16.799999237060547" customHeight="1">
      <x:c r="A86" s="10"/>
      <x:c r="B86" s="6"/>
      <x:c r="C86" s="5"/>
      <x:c r="D86" s="5"/>
      <x:c r="E86" s="5"/>
      <x:c r="F86" s="5"/>
      <x:c r="G86" s="5"/>
      <x:c r="H86" s="1"/>
      <x:c r="I86" s="1"/>
      <x:c r="J86" s="1"/>
    </x:row>
    <x:row r="87" ht="16.799999237060547" customHeight="1">
      <x:c r="A87" s="10"/>
      <x:c r="B87" s="6"/>
      <x:c r="C87" s="5"/>
      <x:c r="D87" s="5"/>
      <x:c r="E87" s="5"/>
      <x:c r="F87" s="5"/>
      <x:c r="G87" s="5"/>
      <x:c r="H87" s="1"/>
      <x:c r="I87" s="1"/>
      <x:c r="J87" s="1"/>
    </x:row>
    <x:row r="88" ht="16.799999237060547" customHeight="1">
      <x:c r="A88" s="10"/>
      <x:c r="B88" s="6"/>
      <x:c r="C88" s="5"/>
      <x:c r="D88" s="5"/>
      <x:c r="E88" s="5"/>
      <x:c r="F88" s="5"/>
      <x:c r="G88" s="5"/>
      <x:c r="H88" s="1"/>
      <x:c r="I88" s="1"/>
      <x:c r="J88" s="1"/>
    </x:row>
    <x:row r="89" ht="16.799999237060547" customHeight="1">
      <x:c r="A89" s="10"/>
      <x:c r="B89" s="6"/>
      <x:c r="C89" s="5"/>
      <x:c r="D89" s="5"/>
      <x:c r="E89" s="5"/>
      <x:c r="F89" s="5"/>
      <x:c r="G89" s="5"/>
      <x:c r="H89" s="1"/>
      <x:c r="I89" s="1"/>
      <x:c r="J89" s="1"/>
    </x:row>
    <x:row r="90" ht="16.799999237060547" customHeight="1">
      <x:c r="A90" s="10"/>
      <x:c r="B90" s="6"/>
      <x:c r="C90" s="5"/>
      <x:c r="D90" s="5"/>
      <x:c r="E90" s="5"/>
      <x:c r="F90" s="5"/>
      <x:c r="G90" s="5"/>
      <x:c r="H90" s="1"/>
      <x:c r="I90" s="1"/>
      <x:c r="J90" s="1"/>
    </x:row>
    <x:row r="91" ht="16.799999237060547" customHeight="1">
      <x:c r="A91" s="10"/>
      <x:c r="B91" s="6"/>
      <x:c r="C91" s="5"/>
      <x:c r="D91" s="5"/>
      <x:c r="E91" s="5"/>
      <x:c r="F91" s="5"/>
      <x:c r="G91" s="5"/>
      <x:c r="H91" s="1"/>
      <x:c r="I91" s="1"/>
      <x:c r="J91" s="1"/>
    </x:row>
    <x:row r="92" ht="16.799999237060547" customHeight="1">
      <x:c r="A92" s="10"/>
      <x:c r="B92" s="6"/>
      <x:c r="C92" s="5"/>
      <x:c r="D92" s="5"/>
      <x:c r="E92" s="5"/>
      <x:c r="F92" s="5"/>
      <x:c r="G92" s="5"/>
      <x:c r="H92" s="1"/>
      <x:c r="I92" s="1"/>
      <x:c r="J92" s="1"/>
    </x:row>
    <x:row r="93" ht="16.799999237060547" customHeight="1">
      <x:c r="A93" s="10"/>
      <x:c r="B93" s="6"/>
      <x:c r="C93" s="5"/>
      <x:c r="D93" s="5"/>
      <x:c r="E93" s="5"/>
      <x:c r="F93" s="5"/>
      <x:c r="G93" s="5"/>
      <x:c r="H93" s="1"/>
      <x:c r="I93" s="1"/>
      <x:c r="J93" s="1"/>
    </x:row>
    <x:row r="94" ht="16.799999237060547" customHeight="1">
      <x:c r="A94" s="10"/>
      <x:c r="B94" s="6"/>
      <x:c r="C94" s="5"/>
      <x:c r="D94" s="5"/>
      <x:c r="E94" s="5"/>
      <x:c r="F94" s="5"/>
      <x:c r="G94" s="5"/>
      <x:c r="H94" s="1"/>
      <x:c r="I94" s="1"/>
      <x:c r="J94" s="1"/>
    </x:row>
    <x:row r="95" ht="16.799999237060547" customHeight="1">
      <x:c r="A95" s="10"/>
      <x:c r="B95" s="6"/>
      <x:c r="C95" s="5"/>
      <x:c r="D95" s="5"/>
      <x:c r="E95" s="5"/>
      <x:c r="F95" s="5"/>
      <x:c r="G95" s="5"/>
      <x:c r="H95" s="1"/>
      <x:c r="I95" s="1"/>
      <x:c r="J95" s="1"/>
    </x:row>
    <x:row r="96" ht="16.799999237060547" customHeight="1">
      <x:c r="A96" s="10"/>
      <x:c r="B96" s="6"/>
      <x:c r="C96" s="5"/>
      <x:c r="D96" s="5"/>
      <x:c r="E96" s="5"/>
      <x:c r="F96" s="5"/>
      <x:c r="G96" s="5"/>
      <x:c r="H96" s="1"/>
      <x:c r="I96" s="1"/>
      <x:c r="J96" s="1"/>
    </x:row>
    <x:row r="97" ht="16.799999237060547" customHeight="1">
      <x:c r="A97" s="10"/>
      <x:c r="B97" s="6"/>
      <x:c r="C97" s="5"/>
      <x:c r="D97" s="5"/>
      <x:c r="E97" s="5"/>
      <x:c r="F97" s="5"/>
      <x:c r="G97" s="5"/>
      <x:c r="H97" s="1"/>
      <x:c r="I97" s="1"/>
      <x:c r="J97" s="1"/>
    </x:row>
    <x:row r="98" ht="16.799999237060547" customHeight="1">
      <x:c r="A98" s="10"/>
      <x:c r="B98" s="6"/>
      <x:c r="C98" s="5"/>
      <x:c r="D98" s="5"/>
      <x:c r="E98" s="5"/>
      <x:c r="F98" s="5"/>
      <x:c r="G98" s="5"/>
      <x:c r="H98" s="1"/>
      <x:c r="I98" s="1"/>
      <x:c r="J98" s="1"/>
    </x:row>
    <x:row r="99" ht="16.799999237060547" customHeight="1">
      <x:c r="A99" s="10"/>
      <x:c r="B99" s="6"/>
      <x:c r="C99" s="5"/>
      <x:c r="D99" s="5"/>
      <x:c r="E99" s="5"/>
      <x:c r="F99" s="5"/>
      <x:c r="G99" s="5"/>
      <x:c r="H99" s="1"/>
      <x:c r="I99" s="1"/>
      <x:c r="J99" s="1"/>
    </x:row>
    <x:row r="100" ht="16.799999237060547" customHeight="1">
      <x:c r="A100" s="10"/>
      <x:c r="B100" s="6"/>
      <x:c r="C100" s="5"/>
      <x:c r="D100" s="5"/>
      <x:c r="E100" s="5"/>
      <x:c r="F100" s="5"/>
      <x:c r="G100" s="5"/>
      <x:c r="H100" s="1"/>
      <x:c r="I100" s="1"/>
      <x:c r="J100" s="1"/>
    </x:row>
    <x:row r="101" ht="16.799999237060547" customHeight="1">
      <x:c r="A101" s="10"/>
      <x:c r="B101" s="6"/>
      <x:c r="C101" s="5"/>
      <x:c r="D101" s="5"/>
      <x:c r="E101" s="5"/>
      <x:c r="F101" s="5"/>
      <x:c r="G101" s="5"/>
      <x:c r="H101" s="1"/>
      <x:c r="I101" s="1"/>
      <x:c r="J101" s="1"/>
    </x:row>
    <x:row r="102" ht="16.799999237060547" customHeight="1">
      <x:c r="A102" s="10"/>
      <x:c r="B102" s="6"/>
      <x:c r="C102" s="5"/>
      <x:c r="D102" s="5"/>
      <x:c r="E102" s="5"/>
      <x:c r="F102" s="5"/>
      <x:c r="G102" s="5"/>
      <x:c r="H102" s="1"/>
      <x:c r="I102" s="1"/>
      <x:c r="J102" s="1"/>
    </x:row>
    <x:row r="103" ht="16.799999237060547" customHeight="1">
      <x:c r="A103" s="10"/>
      <x:c r="B103" s="6"/>
      <x:c r="C103" s="5"/>
      <x:c r="D103" s="5"/>
      <x:c r="E103" s="5"/>
      <x:c r="F103" s="5"/>
      <x:c r="G103" s="5"/>
      <x:c r="H103" s="1"/>
      <x:c r="I103" s="1"/>
      <x:c r="J103" s="1"/>
    </x:row>
    <x:row r="104" ht="16.799999237060547" customHeight="1">
      <x:c r="A104" s="10"/>
      <x:c r="B104" s="6"/>
      <x:c r="C104" s="5"/>
      <x:c r="D104" s="5"/>
      <x:c r="E104" s="5"/>
      <x:c r="F104" s="5"/>
      <x:c r="G104" s="5"/>
      <x:c r="H104" s="1"/>
      <x:c r="I104" s="1"/>
      <x:c r="J104" s="1"/>
    </x:row>
  </x:sheetData>
  <x:mergeCells>
    <x:mergeCell ref="A1:G1"/>
    <x:mergeCell ref="A2:G2"/>
    <x:mergeCell ref="I1:J1"/>
  </x:mergeCells>
  <x:conditionalFormatting sqref="F5:F104">
    <x:cfRule type="expression" dxfId="9" priority="1">
      <x:formula>F5="未開始"</x:formula>
    </x:cfRule>
    <x:cfRule type="expression" dxfId="8" priority="2">
      <x:formula>F5="進行中"</x:formula>
    </x:cfRule>
    <x:cfRule type="expression" dxfId="7" priority="3">
      <x:formula>F5="待確認"</x:formula>
    </x:cfRule>
    <x:cfRule type="expression" dxfId="6" priority="4">
      <x:formula>F5="已完成"</x:formula>
    </x:cfRule>
    <x:cfRule type="expression" dxfId="5" priority="5">
      <x:formula>F5="已取消"</x:formula>
    </x:cfRule>
  </x:conditionalFormatting>
  <x:dataValidations count="1">
    <x:dataValidation type="list" sqref="F5:F104">
      <x:formula1>"未開始,進行中,待確認,已完成,已取消"</x:formula1>
    </x:dataValidation>
  </x:dataValidations>
  <x:pageMargins left="0.7" right="0.7" top="0.75" bottom="0.75" header="0.3" footer="0.3"/>
  <x:legacyDrawing xmlns:r="http://schemas.openxmlformats.org/officeDocument/2006/relationships" r:id="Ra911bd59d7b24cb0"/>
  <x:tableParts count="1">
    <x:tablePart xmlns:r="http://schemas.openxmlformats.org/officeDocument/2006/relationships" r:id="R6728090c0193450c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4" customWidth="1"/>
    <x:col min="2" max="2" width="13" customWidth="1"/>
    <x:col min="3" max="3" width="18" customWidth="1"/>
    <x:col min="4" max="4" width="17.19921875" customWidth="1"/>
    <x:col min="5" max="5" width="42" customWidth="1"/>
    <x:col min="6" max="6" width="13" customWidth="1"/>
    <x:col min="7" max="7" width="14" customWidth="1"/>
    <x:col min="8" max="8" width="34" customWidth="1"/>
    <x:col min="10" max="10" width="14" customWidth="1"/>
    <x:col min="11" max="11" width="10" customWidth="1"/>
  </x:cols>
  <x:sheetData>
    <x:row r="1" ht="22.350000381469727" customHeight="1">
      <x:c r="A1" s="7" t="str">
        <x:v>DREAMS1.0 需求管理紀錄</x:v>
      </x:c>
      <x:c r="B1" s="7"/>
      <x:c r="C1" s="7"/>
      <x:c r="D1" s="7"/>
      <x:c r="E1" s="7"/>
      <x:c r="F1" s="7"/>
      <x:c r="G1" s="7"/>
      <x:c r="H1" s="7"/>
      <x:c r="I1" s="1"/>
      <x:c r="J1" s="9" t="s">
        <x:v>0</x:v>
      </x:c>
      <x:c r="K1" s="9"/>
    </x:row>
    <x:row r="2" ht="34" customHeight="1">
      <x:c r="A2" s="8" t="str">
        <x:v>需求依已提交程式回填；非原始客戶提出紀錄。提出日期、單位、提出人與期限未提供者留白；驗收待確認。</x:v>
      </x:c>
      <x:c r="B2" s="8"/>
      <x:c r="C2" s="8"/>
      <x:c r="D2" s="8"/>
      <x:c r="E2" s="8"/>
      <x:c r="F2" s="8"/>
      <x:c r="G2" s="8"/>
      <x:c r="H2" s="8"/>
      <x:c r="I2" s="1"/>
      <x:c r="J2" s="2" t="s">
        <x:v>1</x:v>
      </x:c>
      <x:c r="K2" s="2" t="s">
        <x:v>2</x:v>
      </x:c>
    </x:row>
    <x:row r="3" ht="14.399999618530273">
      <x:c r="A3" s="1"/>
      <x:c r="B3" s="1"/>
      <x:c r="C3" s="1"/>
      <x:c r="D3" s="1"/>
      <x:c r="E3" s="1"/>
      <x:c r="F3" s="1"/>
      <x:c r="G3" s="1"/>
      <x:c r="H3" s="1"/>
      <x:c r="I3" s="1"/>
      <x:c r="J3" s="3" t="s">
        <x:v>3</x:v>
      </x:c>
      <x:c r="K3" s="4" t="n">
        <x:f>COUNTIF($G$5:$G$104,"未開始")</x:f>
        <x:v>0</x:v>
      </x:c>
    </x:row>
    <x:row r="4" ht="19.200000762939453" customHeight="1">
      <x:c r="A4" s="2" t="s">
        <x:v>15</x:v>
      </x:c>
      <x:c r="B4" s="2" t="s">
        <x:v>16</x:v>
      </x:c>
      <x:c r="C4" s="2" t="s">
        <x:v>17</x:v>
      </x:c>
      <x:c r="D4" s="2" t="s">
        <x:v>18</x:v>
      </x:c>
      <x:c r="E4" s="2" t="s">
        <x:v>19</x:v>
      </x:c>
      <x:c r="F4" s="2" t="s">
        <x:v>20</x:v>
      </x:c>
      <x:c r="G4" s="2" t="s">
        <x:v>1</x:v>
      </x:c>
      <x:c r="H4" s="2" t="s">
        <x:v>21</x:v>
      </x:c>
      <x:c r="I4" s="1"/>
      <x:c r="J4" s="3" t="s">
        <x:v>10</x:v>
      </x:c>
      <x:c r="K4" s="4" t="n">
        <x:f>COUNTIF($G$5:$G$104,"進行中")</x:f>
        <x:v>0</x:v>
      </x:c>
    </x:row>
    <x:row r="5" ht="70" customHeight="1">
      <x:c r="A5" s="5" t="str">
        <x:v>REQ-005</x:v>
      </x:c>
      <x:c r="B5" s="6"/>
      <x:c r="C5" s="5"/>
      <x:c r="D5" s="5"/>
      <x:c r="E5" s="5" t="str">
        <x:v>DNP3 原始值保持不變，比例換算只在畫面進行；離線鎖定需明確上線狀態才解除，停用該站 DNP3／週期工作，並修正內部保活與工作失敗判定。</x:v>
      </x:c>
      <x:c r="F5" s="6"/>
      <x:c r="G5" s="5" t="str">
        <x:v>待確認</x:v>
      </x:c>
      <x:c r="H5" s="5" t="str">
        <x:v>依提交回填；2026-07-28
2792506
驗收待確認。</x:v>
      </x:c>
      <x:c r="I5" s="1"/>
      <x:c r="J5" s="3" t="s">
        <x:v>11</x:v>
      </x:c>
      <x:c r="K5" s="4" t="n">
        <x:f>COUNTIF($G$5:$G$104,"待確認")</x:f>
        <x:v>5</x:v>
      </x:c>
    </x:row>
    <x:row r="6" ht="64" customHeight="1">
      <x:c r="A6" s="5" t="str">
        <x:v>REQ-004</x:v>
      </x:c>
      <x:c r="B6" s="6"/>
      <x:c r="C6" s="5"/>
      <x:c r="D6" s="5"/>
      <x:c r="E6" s="5" t="str">
        <x:v>調整 AI 事件類別、重啟旗標與主動回報重試；相容多種上線狀態欄位，修正無效 DNP3 時間與模擬器命令回覆。</x:v>
      </x:c>
      <x:c r="F6" s="6"/>
      <x:c r="G6" s="5" t="str">
        <x:v>待確認</x:v>
      </x:c>
      <x:c r="H6" s="5" t="str">
        <x:v>依提交回填；2026-06-22
dbec604
驗收待確認。</x:v>
      </x:c>
      <x:c r="I6" s="1"/>
      <x:c r="J6" s="3" t="s">
        <x:v>12</x:v>
      </x:c>
      <x:c r="K6" s="4" t="n">
        <x:f>COUNTIF($G$5:$G$104,"已完成")</x:f>
        <x:v>0</x:v>
      </x:c>
    </x:row>
    <x:row r="7" ht="64" customHeight="1">
      <x:c r="A7" s="5" t="str">
        <x:v>REQ-003</x:v>
      </x:c>
      <x:c r="B7" s="6"/>
      <x:c r="C7" s="5"/>
      <x:c r="D7" s="5"/>
      <x:c r="E7" s="5" t="str">
        <x:v>收到第一份完整快照後才啟動週期工作；事件表新增 DNP3 時間欄位。</x:v>
      </x:c>
      <x:c r="F7" s="6"/>
      <x:c r="G7" s="5" t="str">
        <x:v>待確認</x:v>
      </x:c>
      <x:c r="H7" s="5" t="str">
        <x:v>依提交回填；2026-05-28
24f09b6
驗收待確認。</x:v>
      </x:c>
      <x:c r="I7" s="1"/>
      <x:c r="J7" s="3" t="s">
        <x:v>13</x:v>
      </x:c>
      <x:c r="K7" s="4" t="n">
        <x:f>COUNTIF($G$5:$G$104,"已取消")</x:f>
        <x:v>0</x:v>
      </x:c>
    </x:row>
    <x:row r="8" ht="64" customHeight="1">
      <x:c r="A8" s="5" t="str">
        <x:v>REQ-002</x:v>
      </x:c>
      <x:c r="B8" s="6"/>
      <x:c r="C8" s="5"/>
      <x:c r="D8" s="5"/>
      <x:c r="E8" s="5" t="str">
        <x:v>Master 支援多站輪詢／監看及指定單站 AO 操作；依站台離線狀態控制 DNP3 與週期工作。</x:v>
      </x:c>
      <x:c r="F8" s="6"/>
      <x:c r="G8" s="5" t="str">
        <x:v>待確認</x:v>
      </x:c>
      <x:c r="H8" s="5" t="str">
        <x:v>依提交回填；2026-05-28
83e7a34
驗收待確認。</x:v>
      </x:c>
      <x:c r="I8" s="1"/>
      <x:c r="J8" s="3" t="s">
        <x:v>14</x:v>
      </x:c>
      <x:c r="K8" s="4" t="n">
        <x:f>SUM(K3:K7)</x:f>
        <x:v>5</x:v>
      </x:c>
    </x:row>
    <x:row r="9" ht="64" customHeight="1">
      <x:c r="A9" s="5" t="str">
        <x:v>REQ-001</x:v>
      </x:c>
      <x:c r="B9" s="6"/>
      <x:c r="C9" s="5"/>
      <x:c r="D9" s="5"/>
      <x:c r="E9" s="5" t="str">
        <x:v>建立 DNP3 Outstation 與 MQTT 閘道，加入點位映射、SQLite 暫存與命令紀錄、站台綁定及 Web 監看／測試介面。</x:v>
      </x:c>
      <x:c r="F9" s="6"/>
      <x:c r="G9" s="5" t="str">
        <x:v>待確認</x:v>
      </x:c>
      <x:c r="H9" s="5" t="str">
        <x:v>依提交回填；2026-05-28
35eff9e
驗收待確認。</x:v>
      </x:c>
      <x:c r="I9" s="1"/>
      <x:c r="J9" s="1"/>
      <x:c r="K9" s="1"/>
    </x:row>
    <x:row r="10" ht="16.799999237060547" customHeight="1">
      <x:c r="A10" s="5"/>
      <x:c r="B10" s="6"/>
      <x:c r="C10" s="5"/>
      <x:c r="D10" s="5"/>
      <x:c r="E10" s="5"/>
      <x:c r="F10" s="6"/>
      <x:c r="G10" s="5"/>
      <x:c r="H10" s="5"/>
      <x:c r="I10" s="1"/>
      <x:c r="J10" s="1"/>
      <x:c r="K10" s="1"/>
    </x:row>
    <x:row r="11" ht="16.799999237060547" customHeight="1">
      <x:c r="A11" s="5"/>
      <x:c r="B11" s="6"/>
      <x:c r="C11" s="5"/>
      <x:c r="D11" s="5"/>
      <x:c r="E11" s="5"/>
      <x:c r="F11" s="6"/>
      <x:c r="G11" s="5"/>
      <x:c r="H11" s="5"/>
      <x:c r="I11" s="1"/>
      <x:c r="J11" s="1"/>
      <x:c r="K11" s="1"/>
    </x:row>
    <x:row r="12" ht="16.799999237060547" customHeight="1">
      <x:c r="A12" s="5"/>
      <x:c r="B12" s="6"/>
      <x:c r="C12" s="5"/>
      <x:c r="D12" s="5"/>
      <x:c r="E12" s="5"/>
      <x:c r="F12" s="6"/>
      <x:c r="G12" s="5"/>
      <x:c r="H12" s="5"/>
      <x:c r="I12" s="1"/>
      <x:c r="J12" s="1"/>
      <x:c r="K12" s="1"/>
    </x:row>
    <x:row r="13" ht="16.799999237060547" customHeight="1">
      <x:c r="A13" s="5"/>
      <x:c r="B13" s="6"/>
      <x:c r="C13" s="5"/>
      <x:c r="D13" s="5"/>
      <x:c r="E13" s="5"/>
      <x:c r="F13" s="6"/>
      <x:c r="G13" s="5"/>
      <x:c r="H13" s="5"/>
      <x:c r="I13" s="1"/>
      <x:c r="J13" s="1"/>
      <x:c r="K13" s="1"/>
    </x:row>
    <x:row r="14" ht="16.799999237060547" customHeight="1">
      <x:c r="A14" s="5"/>
      <x:c r="B14" s="6"/>
      <x:c r="C14" s="5"/>
      <x:c r="D14" s="5"/>
      <x:c r="E14" s="5"/>
      <x:c r="F14" s="6"/>
      <x:c r="G14" s="5"/>
      <x:c r="H14" s="5"/>
      <x:c r="I14" s="1"/>
      <x:c r="J14" s="1"/>
      <x:c r="K14" s="1"/>
    </x:row>
    <x:row r="15" ht="16.799999237060547" customHeight="1">
      <x:c r="A15" s="5"/>
      <x:c r="B15" s="6"/>
      <x:c r="C15" s="5"/>
      <x:c r="D15" s="5"/>
      <x:c r="E15" s="5"/>
      <x:c r="F15" s="6"/>
      <x:c r="G15" s="5"/>
      <x:c r="H15" s="5"/>
      <x:c r="I15" s="1"/>
      <x:c r="J15" s="1"/>
      <x:c r="K15" s="1"/>
    </x:row>
    <x:row r="16" ht="16.799999237060547" customHeight="1">
      <x:c r="A16" s="5"/>
      <x:c r="B16" s="6"/>
      <x:c r="C16" s="5"/>
      <x:c r="D16" s="5"/>
      <x:c r="E16" s="5"/>
      <x:c r="F16" s="6"/>
      <x:c r="G16" s="5"/>
      <x:c r="H16" s="5"/>
      <x:c r="I16" s="1"/>
      <x:c r="J16" s="1"/>
      <x:c r="K16" s="1"/>
    </x:row>
    <x:row r="17" ht="16.799999237060547" customHeight="1">
      <x:c r="A17" s="5"/>
      <x:c r="B17" s="6"/>
      <x:c r="C17" s="5"/>
      <x:c r="D17" s="5"/>
      <x:c r="E17" s="5"/>
      <x:c r="F17" s="6"/>
      <x:c r="G17" s="5"/>
      <x:c r="H17" s="5"/>
      <x:c r="I17" s="1"/>
      <x:c r="J17" s="1"/>
      <x:c r="K17" s="1"/>
    </x:row>
    <x:row r="18" ht="16.799999237060547" customHeight="1">
      <x:c r="A18" s="5"/>
      <x:c r="B18" s="6"/>
      <x:c r="C18" s="5"/>
      <x:c r="D18" s="5"/>
      <x:c r="E18" s="5"/>
      <x:c r="F18" s="6"/>
      <x:c r="G18" s="5"/>
      <x:c r="H18" s="5"/>
      <x:c r="I18" s="1"/>
      <x:c r="J18" s="1"/>
      <x:c r="K18" s="1"/>
    </x:row>
    <x:row r="19" ht="16.799999237060547" customHeight="1">
      <x:c r="A19" s="5"/>
      <x:c r="B19" s="6"/>
      <x:c r="C19" s="5"/>
      <x:c r="D19" s="5"/>
      <x:c r="E19" s="5"/>
      <x:c r="F19" s="6"/>
      <x:c r="G19" s="5"/>
      <x:c r="H19" s="5"/>
      <x:c r="I19" s="1"/>
      <x:c r="J19" s="1"/>
      <x:c r="K19" s="1"/>
    </x:row>
    <x:row r="20" ht="16.799999237060547" customHeight="1">
      <x:c r="A20" s="5"/>
      <x:c r="B20" s="6"/>
      <x:c r="C20" s="5"/>
      <x:c r="D20" s="5"/>
      <x:c r="E20" s="5"/>
      <x:c r="F20" s="6"/>
      <x:c r="G20" s="5"/>
      <x:c r="H20" s="5"/>
      <x:c r="I20" s="1"/>
      <x:c r="J20" s="1"/>
      <x:c r="K20" s="1"/>
    </x:row>
    <x:row r="21" ht="16.799999237060547" customHeight="1">
      <x:c r="A21" s="5"/>
      <x:c r="B21" s="6"/>
      <x:c r="C21" s="5"/>
      <x:c r="D21" s="5"/>
      <x:c r="E21" s="5"/>
      <x:c r="F21" s="6"/>
      <x:c r="G21" s="5"/>
      <x:c r="H21" s="5"/>
      <x:c r="I21" s="1"/>
      <x:c r="J21" s="1"/>
      <x:c r="K21" s="1"/>
    </x:row>
    <x:row r="22" ht="16.799999237060547" customHeight="1">
      <x:c r="A22" s="5"/>
      <x:c r="B22" s="6"/>
      <x:c r="C22" s="5"/>
      <x:c r="D22" s="5"/>
      <x:c r="E22" s="5"/>
      <x:c r="F22" s="6"/>
      <x:c r="G22" s="5"/>
      <x:c r="H22" s="5"/>
      <x:c r="I22" s="1"/>
      <x:c r="J22" s="1"/>
      <x:c r="K22" s="1"/>
    </x:row>
    <x:row r="23" ht="16.799999237060547" customHeight="1">
      <x:c r="A23" s="5"/>
      <x:c r="B23" s="6"/>
      <x:c r="C23" s="5"/>
      <x:c r="D23" s="5"/>
      <x:c r="E23" s="5"/>
      <x:c r="F23" s="6"/>
      <x:c r="G23" s="5"/>
      <x:c r="H23" s="5"/>
      <x:c r="I23" s="1"/>
      <x:c r="J23" s="1"/>
      <x:c r="K23" s="1"/>
    </x:row>
    <x:row r="24" ht="16.799999237060547" customHeight="1">
      <x:c r="A24" s="5"/>
      <x:c r="B24" s="6"/>
      <x:c r="C24" s="5"/>
      <x:c r="D24" s="5"/>
      <x:c r="E24" s="5"/>
      <x:c r="F24" s="6"/>
      <x:c r="G24" s="5"/>
      <x:c r="H24" s="5"/>
      <x:c r="I24" s="1"/>
      <x:c r="J24" s="1"/>
      <x:c r="K24" s="1"/>
    </x:row>
    <x:row r="25" ht="16.799999237060547" customHeight="1">
      <x:c r="A25" s="5"/>
      <x:c r="B25" s="6"/>
      <x:c r="C25" s="5"/>
      <x:c r="D25" s="5"/>
      <x:c r="E25" s="5"/>
      <x:c r="F25" s="6"/>
      <x:c r="G25" s="5"/>
      <x:c r="H25" s="5"/>
      <x:c r="I25" s="1"/>
      <x:c r="J25" s="1"/>
      <x:c r="K25" s="1"/>
    </x:row>
    <x:row r="26" ht="16.799999237060547" customHeight="1">
      <x:c r="A26" s="5"/>
      <x:c r="B26" s="6"/>
      <x:c r="C26" s="5"/>
      <x:c r="D26" s="5"/>
      <x:c r="E26" s="5"/>
      <x:c r="F26" s="6"/>
      <x:c r="G26" s="5"/>
      <x:c r="H26" s="5"/>
      <x:c r="I26" s="1"/>
      <x:c r="J26" s="1"/>
      <x:c r="K26" s="1"/>
    </x:row>
    <x:row r="27" ht="16.799999237060547" customHeight="1">
      <x:c r="A27" s="5"/>
      <x:c r="B27" s="6"/>
      <x:c r="C27" s="5"/>
      <x:c r="D27" s="5"/>
      <x:c r="E27" s="5"/>
      <x:c r="F27" s="6"/>
      <x:c r="G27" s="5"/>
      <x:c r="H27" s="5"/>
      <x:c r="I27" s="1"/>
      <x:c r="J27" s="1"/>
      <x:c r="K27" s="1"/>
    </x:row>
    <x:row r="28" ht="16.799999237060547" customHeight="1">
      <x:c r="A28" s="5"/>
      <x:c r="B28" s="6"/>
      <x:c r="C28" s="5"/>
      <x:c r="D28" s="5"/>
      <x:c r="E28" s="5"/>
      <x:c r="F28" s="6"/>
      <x:c r="G28" s="5"/>
      <x:c r="H28" s="5"/>
      <x:c r="I28" s="1"/>
      <x:c r="J28" s="1"/>
      <x:c r="K28" s="1"/>
    </x:row>
    <x:row r="29" ht="16.799999237060547" customHeight="1">
      <x:c r="A29" s="5"/>
      <x:c r="B29" s="6"/>
      <x:c r="C29" s="5"/>
      <x:c r="D29" s="5"/>
      <x:c r="E29" s="5"/>
      <x:c r="F29" s="6"/>
      <x:c r="G29" s="5"/>
      <x:c r="H29" s="5"/>
      <x:c r="I29" s="1"/>
      <x:c r="J29" s="1"/>
      <x:c r="K29" s="1"/>
    </x:row>
    <x:row r="30" ht="16.799999237060547" customHeight="1">
      <x:c r="A30" s="5"/>
      <x:c r="B30" s="6"/>
      <x:c r="C30" s="5"/>
      <x:c r="D30" s="5"/>
      <x:c r="E30" s="5"/>
      <x:c r="F30" s="6"/>
      <x:c r="G30" s="5"/>
      <x:c r="H30" s="5"/>
      <x:c r="I30" s="1"/>
      <x:c r="J30" s="1"/>
      <x:c r="K30" s="1"/>
    </x:row>
    <x:row r="31" ht="16.799999237060547" customHeight="1">
      <x:c r="A31" s="5"/>
      <x:c r="B31" s="6"/>
      <x:c r="C31" s="5"/>
      <x:c r="D31" s="5"/>
      <x:c r="E31" s="5"/>
      <x:c r="F31" s="6"/>
      <x:c r="G31" s="5"/>
      <x:c r="H31" s="5"/>
      <x:c r="I31" s="1"/>
      <x:c r="J31" s="1"/>
      <x:c r="K31" s="1"/>
    </x:row>
    <x:row r="32" ht="16.799999237060547" customHeight="1">
      <x:c r="A32" s="5"/>
      <x:c r="B32" s="6"/>
      <x:c r="C32" s="5"/>
      <x:c r="D32" s="5"/>
      <x:c r="E32" s="5"/>
      <x:c r="F32" s="6"/>
      <x:c r="G32" s="5"/>
      <x:c r="H32" s="5"/>
      <x:c r="I32" s="1"/>
      <x:c r="J32" s="1"/>
      <x:c r="K32" s="1"/>
    </x:row>
    <x:row r="33" ht="16.799999237060547" customHeight="1">
      <x:c r="A33" s="5"/>
      <x:c r="B33" s="6"/>
      <x:c r="C33" s="5"/>
      <x:c r="D33" s="5"/>
      <x:c r="E33" s="5"/>
      <x:c r="F33" s="6"/>
      <x:c r="G33" s="5"/>
      <x:c r="H33" s="5"/>
      <x:c r="I33" s="1"/>
      <x:c r="J33" s="1"/>
      <x:c r="K33" s="1"/>
    </x:row>
    <x:row r="34" ht="16.799999237060547" customHeight="1">
      <x:c r="A34" s="5"/>
      <x:c r="B34" s="6"/>
      <x:c r="C34" s="5"/>
      <x:c r="D34" s="5"/>
      <x:c r="E34" s="5"/>
      <x:c r="F34" s="6"/>
      <x:c r="G34" s="5"/>
      <x:c r="H34" s="5"/>
      <x:c r="I34" s="1"/>
      <x:c r="J34" s="1"/>
      <x:c r="K34" s="1"/>
    </x:row>
    <x:row r="35" ht="16.799999237060547" customHeight="1">
      <x:c r="A35" s="5"/>
      <x:c r="B35" s="6"/>
      <x:c r="C35" s="5"/>
      <x:c r="D35" s="5"/>
      <x:c r="E35" s="5"/>
      <x:c r="F35" s="6"/>
      <x:c r="G35" s="5"/>
      <x:c r="H35" s="5"/>
      <x:c r="I35" s="1"/>
      <x:c r="J35" s="1"/>
      <x:c r="K35" s="1"/>
    </x:row>
    <x:row r="36" ht="16.799999237060547" customHeight="1">
      <x:c r="A36" s="5"/>
      <x:c r="B36" s="6"/>
      <x:c r="C36" s="5"/>
      <x:c r="D36" s="5"/>
      <x:c r="E36" s="5"/>
      <x:c r="F36" s="6"/>
      <x:c r="G36" s="5"/>
      <x:c r="H36" s="5"/>
      <x:c r="I36" s="1"/>
      <x:c r="J36" s="1"/>
      <x:c r="K36" s="1"/>
    </x:row>
    <x:row r="37" ht="16.799999237060547" customHeight="1">
      <x:c r="A37" s="5"/>
      <x:c r="B37" s="6"/>
      <x:c r="C37" s="5"/>
      <x:c r="D37" s="5"/>
      <x:c r="E37" s="5"/>
      <x:c r="F37" s="6"/>
      <x:c r="G37" s="5"/>
      <x:c r="H37" s="5"/>
      <x:c r="I37" s="1"/>
      <x:c r="J37" s="1"/>
      <x:c r="K37" s="1"/>
    </x:row>
    <x:row r="38" ht="16.799999237060547" customHeight="1">
      <x:c r="A38" s="5"/>
      <x:c r="B38" s="6"/>
      <x:c r="C38" s="5"/>
      <x:c r="D38" s="5"/>
      <x:c r="E38" s="5"/>
      <x:c r="F38" s="6"/>
      <x:c r="G38" s="5"/>
      <x:c r="H38" s="5"/>
      <x:c r="I38" s="1"/>
      <x:c r="J38" s="1"/>
      <x:c r="K38" s="1"/>
    </x:row>
    <x:row r="39" ht="16.799999237060547" customHeight="1">
      <x:c r="A39" s="5"/>
      <x:c r="B39" s="6"/>
      <x:c r="C39" s="5"/>
      <x:c r="D39" s="5"/>
      <x:c r="E39" s="5"/>
      <x:c r="F39" s="6"/>
      <x:c r="G39" s="5"/>
      <x:c r="H39" s="5"/>
      <x:c r="I39" s="1"/>
      <x:c r="J39" s="1"/>
      <x:c r="K39" s="1"/>
    </x:row>
    <x:row r="40" ht="16.799999237060547" customHeight="1">
      <x:c r="A40" s="5"/>
      <x:c r="B40" s="6"/>
      <x:c r="C40" s="5"/>
      <x:c r="D40" s="5"/>
      <x:c r="E40" s="5"/>
      <x:c r="F40" s="6"/>
      <x:c r="G40" s="5"/>
      <x:c r="H40" s="5"/>
      <x:c r="I40" s="1"/>
      <x:c r="J40" s="1"/>
      <x:c r="K40" s="1"/>
    </x:row>
    <x:row r="41" ht="16.799999237060547" customHeight="1">
      <x:c r="A41" s="5"/>
      <x:c r="B41" s="6"/>
      <x:c r="C41" s="5"/>
      <x:c r="D41" s="5"/>
      <x:c r="E41" s="5"/>
      <x:c r="F41" s="6"/>
      <x:c r="G41" s="5"/>
      <x:c r="H41" s="5"/>
      <x:c r="I41" s="1"/>
      <x:c r="J41" s="1"/>
      <x:c r="K41" s="1"/>
    </x:row>
    <x:row r="42" ht="16.799999237060547" customHeight="1">
      <x:c r="A42" s="5"/>
      <x:c r="B42" s="6"/>
      <x:c r="C42" s="5"/>
      <x:c r="D42" s="5"/>
      <x:c r="E42" s="5"/>
      <x:c r="F42" s="6"/>
      <x:c r="G42" s="5"/>
      <x:c r="H42" s="5"/>
      <x:c r="I42" s="1"/>
      <x:c r="J42" s="1"/>
      <x:c r="K42" s="1"/>
    </x:row>
    <x:row r="43" ht="16.799999237060547" customHeight="1">
      <x:c r="A43" s="5"/>
      <x:c r="B43" s="6"/>
      <x:c r="C43" s="5"/>
      <x:c r="D43" s="5"/>
      <x:c r="E43" s="5"/>
      <x:c r="F43" s="6"/>
      <x:c r="G43" s="5"/>
      <x:c r="H43" s="5"/>
      <x:c r="I43" s="1"/>
      <x:c r="J43" s="1"/>
      <x:c r="K43" s="1"/>
    </x:row>
    <x:row r="44" ht="16.799999237060547" customHeight="1">
      <x:c r="A44" s="5"/>
      <x:c r="B44" s="6"/>
      <x:c r="C44" s="5"/>
      <x:c r="D44" s="5"/>
      <x:c r="E44" s="5"/>
      <x:c r="F44" s="6"/>
      <x:c r="G44" s="5"/>
      <x:c r="H44" s="5"/>
      <x:c r="I44" s="1"/>
      <x:c r="J44" s="1"/>
      <x:c r="K44" s="1"/>
    </x:row>
    <x:row r="45" ht="16.799999237060547" customHeight="1">
      <x:c r="A45" s="5"/>
      <x:c r="B45" s="6"/>
      <x:c r="C45" s="5"/>
      <x:c r="D45" s="5"/>
      <x:c r="E45" s="5"/>
      <x:c r="F45" s="6"/>
      <x:c r="G45" s="5"/>
      <x:c r="H45" s="5"/>
      <x:c r="I45" s="1"/>
      <x:c r="J45" s="1"/>
      <x:c r="K45" s="1"/>
    </x:row>
    <x:row r="46" ht="16.799999237060547" customHeight="1">
      <x:c r="A46" s="5"/>
      <x:c r="B46" s="6"/>
      <x:c r="C46" s="5"/>
      <x:c r="D46" s="5"/>
      <x:c r="E46" s="5"/>
      <x:c r="F46" s="6"/>
      <x:c r="G46" s="5"/>
      <x:c r="H46" s="5"/>
      <x:c r="I46" s="1"/>
      <x:c r="J46" s="1"/>
      <x:c r="K46" s="1"/>
    </x:row>
    <x:row r="47" ht="16.799999237060547" customHeight="1">
      <x:c r="A47" s="5"/>
      <x:c r="B47" s="6"/>
      <x:c r="C47" s="5"/>
      <x:c r="D47" s="5"/>
      <x:c r="E47" s="5"/>
      <x:c r="F47" s="6"/>
      <x:c r="G47" s="5"/>
      <x:c r="H47" s="5"/>
      <x:c r="I47" s="1"/>
      <x:c r="J47" s="1"/>
      <x:c r="K47" s="1"/>
    </x:row>
    <x:row r="48" ht="16.799999237060547" customHeight="1">
      <x:c r="A48" s="5"/>
      <x:c r="B48" s="6"/>
      <x:c r="C48" s="5"/>
      <x:c r="D48" s="5"/>
      <x:c r="E48" s="5"/>
      <x:c r="F48" s="6"/>
      <x:c r="G48" s="5"/>
      <x:c r="H48" s="5"/>
      <x:c r="I48" s="1"/>
      <x:c r="J48" s="1"/>
      <x:c r="K48" s="1"/>
    </x:row>
    <x:row r="49" ht="16.799999237060547" customHeight="1">
      <x:c r="A49" s="5"/>
      <x:c r="B49" s="6"/>
      <x:c r="C49" s="5"/>
      <x:c r="D49" s="5"/>
      <x:c r="E49" s="5"/>
      <x:c r="F49" s="6"/>
      <x:c r="G49" s="5"/>
      <x:c r="H49" s="5"/>
      <x:c r="I49" s="1"/>
      <x:c r="J49" s="1"/>
      <x:c r="K49" s="1"/>
    </x:row>
    <x:row r="50" ht="16.799999237060547" customHeight="1">
      <x:c r="A50" s="5"/>
      <x:c r="B50" s="6"/>
      <x:c r="C50" s="5"/>
      <x:c r="D50" s="5"/>
      <x:c r="E50" s="5"/>
      <x:c r="F50" s="6"/>
      <x:c r="G50" s="5"/>
      <x:c r="H50" s="5"/>
      <x:c r="I50" s="1"/>
      <x:c r="J50" s="1"/>
      <x:c r="K50" s="1"/>
    </x:row>
    <x:row r="51" ht="16.799999237060547" customHeight="1">
      <x:c r="A51" s="5"/>
      <x:c r="B51" s="6"/>
      <x:c r="C51" s="5"/>
      <x:c r="D51" s="5"/>
      <x:c r="E51" s="5"/>
      <x:c r="F51" s="6"/>
      <x:c r="G51" s="5"/>
      <x:c r="H51" s="5"/>
      <x:c r="I51" s="1"/>
      <x:c r="J51" s="1"/>
      <x:c r="K51" s="1"/>
    </x:row>
    <x:row r="52" ht="16.799999237060547" customHeight="1">
      <x:c r="A52" s="5"/>
      <x:c r="B52" s="6"/>
      <x:c r="C52" s="5"/>
      <x:c r="D52" s="5"/>
      <x:c r="E52" s="5"/>
      <x:c r="F52" s="6"/>
      <x:c r="G52" s="5"/>
      <x:c r="H52" s="5"/>
      <x:c r="I52" s="1"/>
      <x:c r="J52" s="1"/>
      <x:c r="K52" s="1"/>
    </x:row>
    <x:row r="53" ht="16.799999237060547" customHeight="1">
      <x:c r="A53" s="5"/>
      <x:c r="B53" s="6"/>
      <x:c r="C53" s="5"/>
      <x:c r="D53" s="5"/>
      <x:c r="E53" s="5"/>
      <x:c r="F53" s="6"/>
      <x:c r="G53" s="5"/>
      <x:c r="H53" s="5"/>
      <x:c r="I53" s="1"/>
      <x:c r="J53" s="1"/>
      <x:c r="K53" s="1"/>
    </x:row>
    <x:row r="54" ht="16.799999237060547" customHeight="1">
      <x:c r="A54" s="5"/>
      <x:c r="B54" s="6"/>
      <x:c r="C54" s="5"/>
      <x:c r="D54" s="5"/>
      <x:c r="E54" s="5"/>
      <x:c r="F54" s="6"/>
      <x:c r="G54" s="5"/>
      <x:c r="H54" s="5"/>
      <x:c r="I54" s="1"/>
      <x:c r="J54" s="1"/>
      <x:c r="K54" s="1"/>
    </x:row>
    <x:row r="55" ht="16.799999237060547" customHeight="1">
      <x:c r="A55" s="5"/>
      <x:c r="B55" s="6"/>
      <x:c r="C55" s="5"/>
      <x:c r="D55" s="5"/>
      <x:c r="E55" s="5"/>
      <x:c r="F55" s="6"/>
      <x:c r="G55" s="5"/>
      <x:c r="H55" s="5"/>
      <x:c r="I55" s="1"/>
      <x:c r="J55" s="1"/>
      <x:c r="K55" s="1"/>
    </x:row>
    <x:row r="56" ht="16.799999237060547" customHeight="1">
      <x:c r="A56" s="5"/>
      <x:c r="B56" s="6"/>
      <x:c r="C56" s="5"/>
      <x:c r="D56" s="5"/>
      <x:c r="E56" s="5"/>
      <x:c r="F56" s="6"/>
      <x:c r="G56" s="5"/>
      <x:c r="H56" s="5"/>
      <x:c r="I56" s="1"/>
      <x:c r="J56" s="1"/>
      <x:c r="K56" s="1"/>
    </x:row>
    <x:row r="57" ht="16.799999237060547" customHeight="1">
      <x:c r="A57" s="5"/>
      <x:c r="B57" s="6"/>
      <x:c r="C57" s="5"/>
      <x:c r="D57" s="5"/>
      <x:c r="E57" s="5"/>
      <x:c r="F57" s="6"/>
      <x:c r="G57" s="5"/>
      <x:c r="H57" s="5"/>
      <x:c r="I57" s="1"/>
      <x:c r="J57" s="1"/>
      <x:c r="K57" s="1"/>
    </x:row>
    <x:row r="58" ht="16.799999237060547" customHeight="1">
      <x:c r="A58" s="5"/>
      <x:c r="B58" s="6"/>
      <x:c r="C58" s="5"/>
      <x:c r="D58" s="5"/>
      <x:c r="E58" s="5"/>
      <x:c r="F58" s="6"/>
      <x:c r="G58" s="5"/>
      <x:c r="H58" s="5"/>
      <x:c r="I58" s="1"/>
      <x:c r="J58" s="1"/>
      <x:c r="K58" s="1"/>
    </x:row>
    <x:row r="59" ht="16.799999237060547" customHeight="1">
      <x:c r="A59" s="5"/>
      <x:c r="B59" s="6"/>
      <x:c r="C59" s="5"/>
      <x:c r="D59" s="5"/>
      <x:c r="E59" s="5"/>
      <x:c r="F59" s="6"/>
      <x:c r="G59" s="5"/>
      <x:c r="H59" s="5"/>
      <x:c r="I59" s="1"/>
      <x:c r="J59" s="1"/>
      <x:c r="K59" s="1"/>
    </x:row>
    <x:row r="60" ht="16.799999237060547" customHeight="1">
      <x:c r="A60" s="5"/>
      <x:c r="B60" s="6"/>
      <x:c r="C60" s="5"/>
      <x:c r="D60" s="5"/>
      <x:c r="E60" s="5"/>
      <x:c r="F60" s="6"/>
      <x:c r="G60" s="5"/>
      <x:c r="H60" s="5"/>
      <x:c r="I60" s="1"/>
      <x:c r="J60" s="1"/>
      <x:c r="K60" s="1"/>
    </x:row>
    <x:row r="61" ht="16.799999237060547" customHeight="1">
      <x:c r="A61" s="5"/>
      <x:c r="B61" s="6"/>
      <x:c r="C61" s="5"/>
      <x:c r="D61" s="5"/>
      <x:c r="E61" s="5"/>
      <x:c r="F61" s="6"/>
      <x:c r="G61" s="5"/>
      <x:c r="H61" s="5"/>
      <x:c r="I61" s="1"/>
      <x:c r="J61" s="1"/>
      <x:c r="K61" s="1"/>
    </x:row>
    <x:row r="62" ht="16.799999237060547" customHeight="1">
      <x:c r="A62" s="5"/>
      <x:c r="B62" s="6"/>
      <x:c r="C62" s="5"/>
      <x:c r="D62" s="5"/>
      <x:c r="E62" s="5"/>
      <x:c r="F62" s="6"/>
      <x:c r="G62" s="5"/>
      <x:c r="H62" s="5"/>
      <x:c r="I62" s="1"/>
      <x:c r="J62" s="1"/>
      <x:c r="K62" s="1"/>
    </x:row>
    <x:row r="63" ht="16.799999237060547" customHeight="1">
      <x:c r="A63" s="5"/>
      <x:c r="B63" s="6"/>
      <x:c r="C63" s="5"/>
      <x:c r="D63" s="5"/>
      <x:c r="E63" s="5"/>
      <x:c r="F63" s="6"/>
      <x:c r="G63" s="5"/>
      <x:c r="H63" s="5"/>
      <x:c r="I63" s="1"/>
      <x:c r="J63" s="1"/>
      <x:c r="K63" s="1"/>
    </x:row>
    <x:row r="64" ht="16.799999237060547" customHeight="1">
      <x:c r="A64" s="5"/>
      <x:c r="B64" s="6"/>
      <x:c r="C64" s="5"/>
      <x:c r="D64" s="5"/>
      <x:c r="E64" s="5"/>
      <x:c r="F64" s="6"/>
      <x:c r="G64" s="5"/>
      <x:c r="H64" s="5"/>
      <x:c r="I64" s="1"/>
      <x:c r="J64" s="1"/>
      <x:c r="K64" s="1"/>
    </x:row>
    <x:row r="65" ht="16.799999237060547" customHeight="1">
      <x:c r="A65" s="5"/>
      <x:c r="B65" s="6"/>
      <x:c r="C65" s="5"/>
      <x:c r="D65" s="5"/>
      <x:c r="E65" s="5"/>
      <x:c r="F65" s="6"/>
      <x:c r="G65" s="5"/>
      <x:c r="H65" s="5"/>
      <x:c r="I65" s="1"/>
      <x:c r="J65" s="1"/>
      <x:c r="K65" s="1"/>
    </x:row>
    <x:row r="66" ht="16.799999237060547" customHeight="1">
      <x:c r="A66" s="5"/>
      <x:c r="B66" s="6"/>
      <x:c r="C66" s="5"/>
      <x:c r="D66" s="5"/>
      <x:c r="E66" s="5"/>
      <x:c r="F66" s="6"/>
      <x:c r="G66" s="5"/>
      <x:c r="H66" s="5"/>
      <x:c r="I66" s="1"/>
      <x:c r="J66" s="1"/>
      <x:c r="K66" s="1"/>
    </x:row>
    <x:row r="67" ht="16.799999237060547" customHeight="1">
      <x:c r="A67" s="5"/>
      <x:c r="B67" s="6"/>
      <x:c r="C67" s="5"/>
      <x:c r="D67" s="5"/>
      <x:c r="E67" s="5"/>
      <x:c r="F67" s="6"/>
      <x:c r="G67" s="5"/>
      <x:c r="H67" s="5"/>
      <x:c r="I67" s="1"/>
      <x:c r="J67" s="1"/>
      <x:c r="K67" s="1"/>
    </x:row>
    <x:row r="68" ht="16.799999237060547" customHeight="1">
      <x:c r="A68" s="5"/>
      <x:c r="B68" s="6"/>
      <x:c r="C68" s="5"/>
      <x:c r="D68" s="5"/>
      <x:c r="E68" s="5"/>
      <x:c r="F68" s="6"/>
      <x:c r="G68" s="5"/>
      <x:c r="H68" s="5"/>
      <x:c r="I68" s="1"/>
      <x:c r="J68" s="1"/>
      <x:c r="K68" s="1"/>
    </x:row>
    <x:row r="69" ht="16.799999237060547" customHeight="1">
      <x:c r="A69" s="5"/>
      <x:c r="B69" s="6"/>
      <x:c r="C69" s="5"/>
      <x:c r="D69" s="5"/>
      <x:c r="E69" s="5"/>
      <x:c r="F69" s="6"/>
      <x:c r="G69" s="5"/>
      <x:c r="H69" s="5"/>
      <x:c r="I69" s="1"/>
      <x:c r="J69" s="1"/>
      <x:c r="K69" s="1"/>
    </x:row>
    <x:row r="70" ht="16.799999237060547" customHeight="1">
      <x:c r="A70" s="5"/>
      <x:c r="B70" s="6"/>
      <x:c r="C70" s="5"/>
      <x:c r="D70" s="5"/>
      <x:c r="E70" s="5"/>
      <x:c r="F70" s="6"/>
      <x:c r="G70" s="5"/>
      <x:c r="H70" s="5"/>
      <x:c r="I70" s="1"/>
      <x:c r="J70" s="1"/>
      <x:c r="K70" s="1"/>
    </x:row>
    <x:row r="71" ht="16.799999237060547" customHeight="1">
      <x:c r="A71" s="5"/>
      <x:c r="B71" s="6"/>
      <x:c r="C71" s="5"/>
      <x:c r="D71" s="5"/>
      <x:c r="E71" s="5"/>
      <x:c r="F71" s="6"/>
      <x:c r="G71" s="5"/>
      <x:c r="H71" s="5"/>
      <x:c r="I71" s="1"/>
      <x:c r="J71" s="1"/>
      <x:c r="K71" s="1"/>
    </x:row>
    <x:row r="72" ht="16.799999237060547" customHeight="1">
      <x:c r="A72" s="5"/>
      <x:c r="B72" s="6"/>
      <x:c r="C72" s="5"/>
      <x:c r="D72" s="5"/>
      <x:c r="E72" s="5"/>
      <x:c r="F72" s="6"/>
      <x:c r="G72" s="5"/>
      <x:c r="H72" s="5"/>
      <x:c r="I72" s="1"/>
      <x:c r="J72" s="1"/>
      <x:c r="K72" s="1"/>
    </x:row>
    <x:row r="73" ht="16.799999237060547" customHeight="1">
      <x:c r="A73" s="5"/>
      <x:c r="B73" s="6"/>
      <x:c r="C73" s="5"/>
      <x:c r="D73" s="5"/>
      <x:c r="E73" s="5"/>
      <x:c r="F73" s="6"/>
      <x:c r="G73" s="5"/>
      <x:c r="H73" s="5"/>
      <x:c r="I73" s="1"/>
      <x:c r="J73" s="1"/>
      <x:c r="K73" s="1"/>
    </x:row>
    <x:row r="74" ht="16.799999237060547" customHeight="1">
      <x:c r="A74" s="5"/>
      <x:c r="B74" s="6"/>
      <x:c r="C74" s="5"/>
      <x:c r="D74" s="5"/>
      <x:c r="E74" s="5"/>
      <x:c r="F74" s="6"/>
      <x:c r="G74" s="5"/>
      <x:c r="H74" s="5"/>
      <x:c r="I74" s="1"/>
      <x:c r="J74" s="1"/>
      <x:c r="K74" s="1"/>
    </x:row>
    <x:row r="75" ht="16.799999237060547" customHeight="1">
      <x:c r="A75" s="5"/>
      <x:c r="B75" s="6"/>
      <x:c r="C75" s="5"/>
      <x:c r="D75" s="5"/>
      <x:c r="E75" s="5"/>
      <x:c r="F75" s="6"/>
      <x:c r="G75" s="5"/>
      <x:c r="H75" s="5"/>
      <x:c r="I75" s="1"/>
      <x:c r="J75" s="1"/>
      <x:c r="K75" s="1"/>
    </x:row>
    <x:row r="76" ht="16.799999237060547" customHeight="1">
      <x:c r="A76" s="5"/>
      <x:c r="B76" s="6"/>
      <x:c r="C76" s="5"/>
      <x:c r="D76" s="5"/>
      <x:c r="E76" s="5"/>
      <x:c r="F76" s="6"/>
      <x:c r="G76" s="5"/>
      <x:c r="H76" s="5"/>
      <x:c r="I76" s="1"/>
      <x:c r="J76" s="1"/>
      <x:c r="K76" s="1"/>
    </x:row>
    <x:row r="77" ht="16.799999237060547" customHeight="1">
      <x:c r="A77" s="5"/>
      <x:c r="B77" s="6"/>
      <x:c r="C77" s="5"/>
      <x:c r="D77" s="5"/>
      <x:c r="E77" s="5"/>
      <x:c r="F77" s="6"/>
      <x:c r="G77" s="5"/>
      <x:c r="H77" s="5"/>
      <x:c r="I77" s="1"/>
      <x:c r="J77" s="1"/>
      <x:c r="K77" s="1"/>
    </x:row>
    <x:row r="78" ht="16.799999237060547" customHeight="1">
      <x:c r="A78" s="5"/>
      <x:c r="B78" s="6"/>
      <x:c r="C78" s="5"/>
      <x:c r="D78" s="5"/>
      <x:c r="E78" s="5"/>
      <x:c r="F78" s="6"/>
      <x:c r="G78" s="5"/>
      <x:c r="H78" s="5"/>
      <x:c r="I78" s="1"/>
      <x:c r="J78" s="1"/>
      <x:c r="K78" s="1"/>
    </x:row>
    <x:row r="79" ht="16.799999237060547" customHeight="1">
      <x:c r="A79" s="5"/>
      <x:c r="B79" s="6"/>
      <x:c r="C79" s="5"/>
      <x:c r="D79" s="5"/>
      <x:c r="E79" s="5"/>
      <x:c r="F79" s="6"/>
      <x:c r="G79" s="5"/>
      <x:c r="H79" s="5"/>
      <x:c r="I79" s="1"/>
      <x:c r="J79" s="1"/>
      <x:c r="K79" s="1"/>
    </x:row>
    <x:row r="80" ht="16.799999237060547" customHeight="1">
      <x:c r="A80" s="5"/>
      <x:c r="B80" s="6"/>
      <x:c r="C80" s="5"/>
      <x:c r="D80" s="5"/>
      <x:c r="E80" s="5"/>
      <x:c r="F80" s="6"/>
      <x:c r="G80" s="5"/>
      <x:c r="H80" s="5"/>
      <x:c r="I80" s="1"/>
      <x:c r="J80" s="1"/>
      <x:c r="K80" s="1"/>
    </x:row>
    <x:row r="81" ht="16.799999237060547" customHeight="1">
      <x:c r="A81" s="5"/>
      <x:c r="B81" s="6"/>
      <x:c r="C81" s="5"/>
      <x:c r="D81" s="5"/>
      <x:c r="E81" s="5"/>
      <x:c r="F81" s="6"/>
      <x:c r="G81" s="5"/>
      <x:c r="H81" s="5"/>
      <x:c r="I81" s="1"/>
      <x:c r="J81" s="1"/>
      <x:c r="K81" s="1"/>
    </x:row>
    <x:row r="82" ht="16.799999237060547" customHeight="1">
      <x:c r="A82" s="5"/>
      <x:c r="B82" s="6"/>
      <x:c r="C82" s="5"/>
      <x:c r="D82" s="5"/>
      <x:c r="E82" s="5"/>
      <x:c r="F82" s="6"/>
      <x:c r="G82" s="5"/>
      <x:c r="H82" s="5"/>
      <x:c r="I82" s="1"/>
      <x:c r="J82" s="1"/>
      <x:c r="K82" s="1"/>
    </x:row>
    <x:row r="83" ht="16.799999237060547" customHeight="1">
      <x:c r="A83" s="5"/>
      <x:c r="B83" s="6"/>
      <x:c r="C83" s="5"/>
      <x:c r="D83" s="5"/>
      <x:c r="E83" s="5"/>
      <x:c r="F83" s="6"/>
      <x:c r="G83" s="5"/>
      <x:c r="H83" s="5"/>
      <x:c r="I83" s="1"/>
      <x:c r="J83" s="1"/>
      <x:c r="K83" s="1"/>
    </x:row>
    <x:row r="84" ht="16.799999237060547" customHeight="1">
      <x:c r="A84" s="5"/>
      <x:c r="B84" s="6"/>
      <x:c r="C84" s="5"/>
      <x:c r="D84" s="5"/>
      <x:c r="E84" s="5"/>
      <x:c r="F84" s="6"/>
      <x:c r="G84" s="5"/>
      <x:c r="H84" s="5"/>
      <x:c r="I84" s="1"/>
      <x:c r="J84" s="1"/>
      <x:c r="K84" s="1"/>
    </x:row>
    <x:row r="85" ht="16.799999237060547" customHeight="1">
      <x:c r="A85" s="5"/>
      <x:c r="B85" s="6"/>
      <x:c r="C85" s="5"/>
      <x:c r="D85" s="5"/>
      <x:c r="E85" s="5"/>
      <x:c r="F85" s="6"/>
      <x:c r="G85" s="5"/>
      <x:c r="H85" s="5"/>
      <x:c r="I85" s="1"/>
      <x:c r="J85" s="1"/>
      <x:c r="K85" s="1"/>
    </x:row>
    <x:row r="86" ht="16.799999237060547" customHeight="1">
      <x:c r="A86" s="5"/>
      <x:c r="B86" s="6"/>
      <x:c r="C86" s="5"/>
      <x:c r="D86" s="5"/>
      <x:c r="E86" s="5"/>
      <x:c r="F86" s="6"/>
      <x:c r="G86" s="5"/>
      <x:c r="H86" s="5"/>
      <x:c r="I86" s="1"/>
      <x:c r="J86" s="1"/>
      <x:c r="K86" s="1"/>
    </x:row>
    <x:row r="87" ht="16.799999237060547" customHeight="1">
      <x:c r="A87" s="5"/>
      <x:c r="B87" s="6"/>
      <x:c r="C87" s="5"/>
      <x:c r="D87" s="5"/>
      <x:c r="E87" s="5"/>
      <x:c r="F87" s="6"/>
      <x:c r="G87" s="5"/>
      <x:c r="H87" s="5"/>
      <x:c r="I87" s="1"/>
      <x:c r="J87" s="1"/>
      <x:c r="K87" s="1"/>
    </x:row>
    <x:row r="88" ht="16.799999237060547" customHeight="1">
      <x:c r="A88" s="5"/>
      <x:c r="B88" s="6"/>
      <x:c r="C88" s="5"/>
      <x:c r="D88" s="5"/>
      <x:c r="E88" s="5"/>
      <x:c r="F88" s="6"/>
      <x:c r="G88" s="5"/>
      <x:c r="H88" s="5"/>
      <x:c r="I88" s="1"/>
      <x:c r="J88" s="1"/>
      <x:c r="K88" s="1"/>
    </x:row>
    <x:row r="89" ht="16.799999237060547" customHeight="1">
      <x:c r="A89" s="5"/>
      <x:c r="B89" s="6"/>
      <x:c r="C89" s="5"/>
      <x:c r="D89" s="5"/>
      <x:c r="E89" s="5"/>
      <x:c r="F89" s="6"/>
      <x:c r="G89" s="5"/>
      <x:c r="H89" s="5"/>
      <x:c r="I89" s="1"/>
      <x:c r="J89" s="1"/>
      <x:c r="K89" s="1"/>
    </x:row>
    <x:row r="90" ht="16.799999237060547" customHeight="1">
      <x:c r="A90" s="5"/>
      <x:c r="B90" s="6"/>
      <x:c r="C90" s="5"/>
      <x:c r="D90" s="5"/>
      <x:c r="E90" s="5"/>
      <x:c r="F90" s="6"/>
      <x:c r="G90" s="5"/>
      <x:c r="H90" s="5"/>
      <x:c r="I90" s="1"/>
      <x:c r="J90" s="1"/>
      <x:c r="K90" s="1"/>
    </x:row>
    <x:row r="91" ht="16.799999237060547" customHeight="1">
      <x:c r="A91" s="5"/>
      <x:c r="B91" s="6"/>
      <x:c r="C91" s="5"/>
      <x:c r="D91" s="5"/>
      <x:c r="E91" s="5"/>
      <x:c r="F91" s="6"/>
      <x:c r="G91" s="5"/>
      <x:c r="H91" s="5"/>
      <x:c r="I91" s="1"/>
      <x:c r="J91" s="1"/>
      <x:c r="K91" s="1"/>
    </x:row>
    <x:row r="92" ht="16.799999237060547" customHeight="1">
      <x:c r="A92" s="5"/>
      <x:c r="B92" s="6"/>
      <x:c r="C92" s="5"/>
      <x:c r="D92" s="5"/>
      <x:c r="E92" s="5"/>
      <x:c r="F92" s="6"/>
      <x:c r="G92" s="5"/>
      <x:c r="H92" s="5"/>
      <x:c r="I92" s="1"/>
      <x:c r="J92" s="1"/>
      <x:c r="K92" s="1"/>
    </x:row>
    <x:row r="93" ht="16.799999237060547" customHeight="1">
      <x:c r="A93" s="5"/>
      <x:c r="B93" s="6"/>
      <x:c r="C93" s="5"/>
      <x:c r="D93" s="5"/>
      <x:c r="E93" s="5"/>
      <x:c r="F93" s="6"/>
      <x:c r="G93" s="5"/>
      <x:c r="H93" s="5"/>
      <x:c r="I93" s="1"/>
      <x:c r="J93" s="1"/>
      <x:c r="K93" s="1"/>
    </x:row>
    <x:row r="94" ht="16.799999237060547" customHeight="1">
      <x:c r="A94" s="5"/>
      <x:c r="B94" s="6"/>
      <x:c r="C94" s="5"/>
      <x:c r="D94" s="5"/>
      <x:c r="E94" s="5"/>
      <x:c r="F94" s="6"/>
      <x:c r="G94" s="5"/>
      <x:c r="H94" s="5"/>
      <x:c r="I94" s="1"/>
      <x:c r="J94" s="1"/>
      <x:c r="K94" s="1"/>
    </x:row>
    <x:row r="95" ht="16.799999237060547" customHeight="1">
      <x:c r="A95" s="5"/>
      <x:c r="B95" s="6"/>
      <x:c r="C95" s="5"/>
      <x:c r="D95" s="5"/>
      <x:c r="E95" s="5"/>
      <x:c r="F95" s="6"/>
      <x:c r="G95" s="5"/>
      <x:c r="H95" s="5"/>
      <x:c r="I95" s="1"/>
      <x:c r="J95" s="1"/>
      <x:c r="K95" s="1"/>
    </x:row>
    <x:row r="96" ht="16.799999237060547" customHeight="1">
      <x:c r="A96" s="5"/>
      <x:c r="B96" s="6"/>
      <x:c r="C96" s="5"/>
      <x:c r="D96" s="5"/>
      <x:c r="E96" s="5"/>
      <x:c r="F96" s="6"/>
      <x:c r="G96" s="5"/>
      <x:c r="H96" s="5"/>
      <x:c r="I96" s="1"/>
      <x:c r="J96" s="1"/>
      <x:c r="K96" s="1"/>
    </x:row>
    <x:row r="97" ht="16.799999237060547" customHeight="1">
      <x:c r="A97" s="5"/>
      <x:c r="B97" s="6"/>
      <x:c r="C97" s="5"/>
      <x:c r="D97" s="5"/>
      <x:c r="E97" s="5"/>
      <x:c r="F97" s="6"/>
      <x:c r="G97" s="5"/>
      <x:c r="H97" s="5"/>
      <x:c r="I97" s="1"/>
      <x:c r="J97" s="1"/>
      <x:c r="K97" s="1"/>
    </x:row>
    <x:row r="98" ht="16.799999237060547" customHeight="1">
      <x:c r="A98" s="5"/>
      <x:c r="B98" s="6"/>
      <x:c r="C98" s="5"/>
      <x:c r="D98" s="5"/>
      <x:c r="E98" s="5"/>
      <x:c r="F98" s="6"/>
      <x:c r="G98" s="5"/>
      <x:c r="H98" s="5"/>
      <x:c r="I98" s="1"/>
      <x:c r="J98" s="1"/>
      <x:c r="K98" s="1"/>
    </x:row>
    <x:row r="99" ht="16.799999237060547" customHeight="1">
      <x:c r="A99" s="5"/>
      <x:c r="B99" s="6"/>
      <x:c r="C99" s="5"/>
      <x:c r="D99" s="5"/>
      <x:c r="E99" s="5"/>
      <x:c r="F99" s="6"/>
      <x:c r="G99" s="5"/>
      <x:c r="H99" s="5"/>
      <x:c r="I99" s="1"/>
      <x:c r="J99" s="1"/>
      <x:c r="K99" s="1"/>
    </x:row>
    <x:row r="100" ht="16.799999237060547" customHeight="1">
      <x:c r="A100" s="5"/>
      <x:c r="B100" s="6"/>
      <x:c r="C100" s="5"/>
      <x:c r="D100" s="5"/>
      <x:c r="E100" s="5"/>
      <x:c r="F100" s="6"/>
      <x:c r="G100" s="5"/>
      <x:c r="H100" s="5"/>
      <x:c r="I100" s="1"/>
      <x:c r="J100" s="1"/>
      <x:c r="K100" s="1"/>
    </x:row>
    <x:row r="101" ht="16.799999237060547" customHeight="1">
      <x:c r="A101" s="5"/>
      <x:c r="B101" s="6"/>
      <x:c r="C101" s="5"/>
      <x:c r="D101" s="5"/>
      <x:c r="E101" s="5"/>
      <x:c r="F101" s="6"/>
      <x:c r="G101" s="5"/>
      <x:c r="H101" s="5"/>
      <x:c r="I101" s="1"/>
      <x:c r="J101" s="1"/>
      <x:c r="K101" s="1"/>
    </x:row>
    <x:row r="102" ht="16.799999237060547" customHeight="1">
      <x:c r="A102" s="5"/>
      <x:c r="B102" s="6"/>
      <x:c r="C102" s="5"/>
      <x:c r="D102" s="5"/>
      <x:c r="E102" s="5"/>
      <x:c r="F102" s="6"/>
      <x:c r="G102" s="5"/>
      <x:c r="H102" s="5"/>
      <x:c r="I102" s="1"/>
      <x:c r="J102" s="1"/>
      <x:c r="K102" s="1"/>
    </x:row>
    <x:row r="103" ht="16.799999237060547" customHeight="1">
      <x:c r="A103" s="5"/>
      <x:c r="B103" s="6"/>
      <x:c r="C103" s="5"/>
      <x:c r="D103" s="5"/>
      <x:c r="E103" s="5"/>
      <x:c r="F103" s="6"/>
      <x:c r="G103" s="5"/>
      <x:c r="H103" s="5"/>
      <x:c r="I103" s="1"/>
      <x:c r="J103" s="1"/>
      <x:c r="K103" s="1"/>
    </x:row>
    <x:row r="104" ht="16.799999237060547" customHeight="1">
      <x:c r="A104" s="5"/>
      <x:c r="B104" s="6"/>
      <x:c r="C104" s="5"/>
      <x:c r="D104" s="5"/>
      <x:c r="E104" s="5"/>
      <x:c r="F104" s="6"/>
      <x:c r="G104" s="5"/>
      <x:c r="H104" s="5"/>
      <x:c r="I104" s="1"/>
      <x:c r="J104" s="1"/>
      <x:c r="K104" s="1"/>
    </x:row>
  </x:sheetData>
  <x:mergeCells>
    <x:mergeCell ref="A1:H1"/>
    <x:mergeCell ref="A2:H2"/>
    <x:mergeCell ref="J1:K1"/>
  </x:mergeCells>
  <x:conditionalFormatting sqref="G5:G104">
    <x:cfRule type="expression" dxfId="4" priority="1">
      <x:formula>G5="未開始"</x:formula>
    </x:cfRule>
    <x:cfRule type="expression" dxfId="3" priority="2">
      <x:formula>G5="進行中"</x:formula>
    </x:cfRule>
    <x:cfRule type="expression" dxfId="2" priority="3">
      <x:formula>G5="待確認"</x:formula>
    </x:cfRule>
    <x:cfRule type="expression" dxfId="1" priority="4">
      <x:formula>G5="已完成"</x:formula>
    </x:cfRule>
    <x:cfRule type="expression" dxfId="0" priority="5">
      <x:formula>G5="已取消"</x:formula>
    </x:cfRule>
  </x:conditionalFormatting>
  <x:dataValidations count="1">
    <x:dataValidation type="list" sqref="G5:G104">
      <x:formula1>"未開始,進行中,待確認,已完成,已取消"</x:formula1>
    </x:dataValidation>
  </x:dataValidations>
  <x:pageMargins left="0.7" right="0.7" top="0.75" bottom="0.75" header="0.3" footer="0.3"/>
  <x:legacyDrawing xmlns:r="http://schemas.openxmlformats.org/officeDocument/2006/relationships" r:id="R07fc471ec4ab47d5"/>
  <x:tableParts count="1">
    <x:tablePart xmlns:r="http://schemas.openxmlformats.org/officeDocument/2006/relationships" r:id="Ra2180db051884e32"/>
  </x:tableParts>
</x:worksheet>
</file>