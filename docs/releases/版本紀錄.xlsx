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b4af642b3b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21dcb193c98443af"/>
    <x:sheet xmlns:r="http://schemas.openxmlformats.org/officeDocument/2006/relationships" name="版本紀錄" sheetId="2" r:id="R4b72ffe2fe084221"/>
    <x:sheet xmlns:r="http://schemas.openxmlformats.org/officeDocument/2006/relationships" name="變更依據" sheetId="3" r:id="R862b1e7003e146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yyyy-mm-dd"/>
    <x:numFmt numFmtId="201" formatCode="@"/>
  </x:numFmts>
  <x:fonts count="19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  <x:font>
      <x:b/>
      <x:sz val="16"/>
      <x:color rgb="FF413389"/>
      <x:name val="Arial"/>
    </x:font>
    <x:font>
      <x:sz val="10"/>
      <x:color rgb="FF47668A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5C47C5"/>
      </x:patternFill>
    </x:fill>
    <x:fill>
      <x:patternFill patternType="solid">
        <x:fgColor rgb="FFFFF4D6"/>
      </x:patternFill>
    </x:fill>
  </x:fills>
  <x:borders count="15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  <x:border>
      <x:bottom style="thin">
        <x:color rgb="FFDCE3EC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5" borderId="2" xfId="0" applyNumberFormat="1" applyFont="1" applyFill="1" applyBorder="1" applyAlignment="1">
      <x:alignment horizontal="left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/>
    </x:xf>
    <x:xf numFmtId="0" fontId="16" fillId="9" borderId="0" xfId="0" applyNumberFormat="1" applyFont="1" applyFill="1" applyBorder="1" applyAlignment="1">
      <x:alignment vertical="center"/>
    </x:xf>
    <x:xf numFmtId="0" fontId="16" fillId="9" borderId="0" xfId="0" applyNumberFormat="1" applyFont="1" applyFill="1" applyBorder="1" applyAlignment="1">
      <x:alignment vertical="center" wrapText="1"/>
    </x:xf>
    <x:xf numFmtId="0" fontId="16" fillId="9" borderId="0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0" fontId="15" fillId="0" borderId="14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/>
    </x:xf>
    <x:xf numFmtId="201" fontId="15" fillId="0" borderId="0" xfId="0" applyNumberFormat="1" applyFont="1" applyFill="1" applyBorder="1" applyAlignment="1">
      <x:alignment vertical="center" wrapText="1"/>
    </x:xf>
    <x:xf numFmtId="201" fontId="15" fillId="0" borderId="14" xfId="0" applyNumberFormat="1" applyFont="1" applyFill="1" applyBorder="1" applyAlignment="1">
      <x:alignment vertical="center" wrapText="1"/>
    </x:xf>
    <x:xf numFmtId="200" fontId="15" fillId="0" borderId="0" xfId="0" applyNumberFormat="1" applyFont="1" applyFill="1" applyBorder="1" applyAlignment="1">
      <x:alignment vertical="center" wrapText="1"/>
    </x:xf>
    <x:xf numFmtId="200" fontId="15" fillId="0" borderId="14" xfId="0" applyNumberFormat="1" applyFont="1" applyFill="1" applyBorder="1" applyAlignment="1">
      <x:alignment vertical="center" wrapText="1"/>
    </x:xf>
    <x:xf numFmtId="0" fontId="15" fillId="10" borderId="0" xfId="0" applyNumberFormat="1" applyFont="1" applyFill="1" applyBorder="1" applyAlignment="1">
      <x:alignment vertical="center" wrapText="1"/>
    </x:xf>
    <x:xf numFmtId="0" fontId="15" fillId="10" borderId="14" xfId="0" applyNumberFormat="1" applyFont="1" applyFill="1" applyBorder="1" applyAlignment="1">
      <x:alignment vertical="center" wrapText="1"/>
    </x:xf>
    <x:xf numFmtId="200" fontId="15" fillId="10" borderId="0" xfId="0" applyNumberFormat="1" applyFont="1" applyFill="1" applyBorder="1" applyAlignment="1">
      <x:alignment vertical="center" wrapText="1"/>
    </x:xf>
    <x:xf numFmtId="200" fontId="15" fillId="10" borderId="14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 wrapText="1"/>
    </x:xf>
    <x:xf numFmtId="0" fontId="18" fillId="0" borderId="14" xfId="0" applyNumberFormat="1" applyFont="1" applyFill="1" applyBorder="1" applyAlignment="1">
      <x:alignment vertical="center" wrapText="1"/>
    </x:xf>
    <x:xf numFmtId="200" fontId="1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5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color rgb="FF946200"/>
      </x:font>
      <x:fill>
        <x:patternFill patternType="solid">
          <x:bgColor rgb="FFFFF4D6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033ff289f444d0" /><Relationship Type="http://schemas.openxmlformats.org/officeDocument/2006/relationships/theme" Target="/xl/theme/theme1.xml" Id="Rf53d96edccb14e77" /><Relationship Type="http://schemas.openxmlformats.org/officeDocument/2006/relationships/sharedStrings" Target="/xl/sharedStrings.xml" Id="R7535658f48ad4dcd" /><Relationship Type="http://schemas.openxmlformats.org/officeDocument/2006/relationships/worksheet" Target="/xl/worksheets/sheet1.xml" Id="R21dcb193c98443af" /><Relationship Type="http://schemas.openxmlformats.org/officeDocument/2006/relationships/worksheet" Target="/xl/worksheets/sheet2.xml" Id="R4b72ffe2fe084221" /><Relationship Type="http://schemas.openxmlformats.org/officeDocument/2006/relationships/worksheet" Target="/xl/worksheets/sheet3.xml" Id="R862b1e7003e146f9" /></Relationships>
</file>

<file path=xl/tables/table1.xml><?xml version="1.0" encoding="utf-8"?>
<x:table xmlns:x="http://schemas.openxmlformats.org/spreadsheetml/2006/main" id="1" name="ReleaseRecords" displayName="ReleaseRecords" ref="A8:N19" headerRowCount="1" totalsRowCount="0" totalsRowShown="0">
  <x:autoFilter ref="A8:N19"/>
  <x:tableColumns count="14">
    <x:tableColumn id="1" name="紀錄ID"/>
    <x:tableColumn id="2" name="版本"/>
    <x:tableColumn id="3" name="平台／元件"/>
    <x:tableColumn id="4" name="建置號"/>
    <x:tableColumn id="5" name="紀錄類型"/>
    <x:tableColumn id="6" name="狀態"/>
    <x:tableColumn id="7" name="紀錄日期"/>
    <x:tableColumn id="8" name="實際發布日"/>
    <x:tableColumn id="9" name="變更摘要"/>
    <x:tableColumn id="10" name="測試與驗證"/>
    <x:tableColumn id="11" name="程式基準／Tag"/>
    <x:tableColumn id="12" name="負責人"/>
    <x:tableColumn id="13" name="依據連結"/>
    <x:tableColumn id="14" name="待確認事項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mitEvidence" displayName="CommitEvidence" ref="A8:E15" headerRowCount="1" totalsRowCount="0" totalsRowShown="0">
  <x:autoFilter ref="A8:E15"/>
  <x:tableColumns count="5">
    <x:tableColumn id="1" name="Git Commit SHA"/>
    <x:tableColumn id="2" name="提交日期"/>
    <x:tableColumn id="3" name="變更摘要"/>
    <x:tableColumn id="4" name="證據類型"/>
    <x:tableColumn id="5" name="來源連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11331e8a82c496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b1cb24624d49b0" /></Relationships>
</file>

<file path=xl/worksheets/sheet1.xml><?xml version="1.0" encoding="utf-8"?>
<x:worksheet xmlns:x="http://schemas.openxmlformats.org/spreadsheetml/2006/main">
  <x:sheetPr>
    <x:tabColor rgb="FF243852"/>
  </x:sheetPr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DREAMS1.0 版本維護計畫</x:v>
      </x:c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20" t="str">
        <x:v>盤點日期 2026-09-16</x:v>
      </x:c>
      <x:c r="T2" s="20"/>
      <x:c r="U2" s="20"/>
      <x:c r="V2" s="20"/>
      <x:c r="W2" s="20"/>
      <x:c r="X2" s="20"/>
      <x:c r="Y2" s="20"/>
      <x:c r="Z2" s="20"/>
      <x:c r="AA2" s="20"/>
      <x:c r="AB2" s="20"/>
      <x:c r="AC2" s="20"/>
      <x:c r="AD2" s="20"/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倉庫資訊</x:v>
      </x:c>
      <x:c r="C4" s="21"/>
      <x:c r="D4" s="21"/>
      <x:c r="E4" s="21"/>
      <x:c r="F4" s="21"/>
      <x:c r="G4" s="21"/>
      <x:c r="H4" s="21"/>
      <x:c r="I4" s="21"/>
      <x:c r="J4" s="15"/>
      <x:c r="K4" s="21" t="str">
        <x:v>版本文件維護進度</x:v>
      </x:c>
      <x:c r="L4" s="21"/>
      <x:c r="M4" s="21"/>
      <x:c r="N4" s="21"/>
      <x:c r="O4" s="21"/>
      <x:c r="P4" s="21"/>
      <x:c r="Q4" s="21"/>
      <x:c r="R4" s="21"/>
      <x:c r="S4" s="21"/>
      <x:c r="T4" s="21"/>
      <x:c r="U4" s="21"/>
      <x:c r="V4" s="21"/>
      <x:c r="W4" s="21"/>
      <x:c r="X4" s="21"/>
      <x:c r="Y4" s="21"/>
      <x:c r="Z4" s="21"/>
      <x:c r="AA4" s="21"/>
      <x:c r="AB4" s="21"/>
      <x:c r="AC4" s="21"/>
      <x:c r="AD4" s="21"/>
    </x:row>
    <x:row r="5" ht="22" customHeight="1">
      <x:c r="B5" s="18" t="str">
        <x:v>倉庫</x:v>
      </x:c>
      <x:c r="C5" s="22" t="str">
        <x:v>DREAMS1.0</x:v>
      </x:c>
      <x:c r="D5" s="22"/>
      <x:c r="E5" s="22"/>
      <x:c r="F5" s="27" t="str">
        <x:v>維護人</x:v>
      </x:c>
      <x:c r="G5" s="28"/>
      <x:c r="H5" s="23" t="str">
        <x:v>待指派</x:v>
      </x:c>
      <x:c r="I5" s="23"/>
      <x:c r="J5" s="15"/>
      <x:c r="K5" s="24" t="str">
        <x:v>工作數</x:v>
      </x:c>
      <x:c r="L5" s="25"/>
      <x:c r="M5" s="25"/>
      <x:c r="N5" s="26"/>
      <x:c r="O5" s="24" t="str">
        <x:v>已完成</x:v>
      </x:c>
      <x:c r="P5" s="25"/>
      <x:c r="Q5" s="25"/>
      <x:c r="R5" s="26"/>
      <x:c r="S5" s="24" t="str">
        <x:v>進行中</x:v>
      </x:c>
      <x:c r="T5" s="25"/>
      <x:c r="U5" s="25"/>
      <x:c r="V5" s="26"/>
      <x:c r="W5" s="24" t="str">
        <x:v>有待解項目</x:v>
      </x:c>
      <x:c r="X5" s="25"/>
      <x:c r="Y5" s="25"/>
      <x:c r="Z5" s="26"/>
      <x:c r="AA5" s="24" t="str">
        <x:v>最高優先</x:v>
      </x:c>
      <x:c r="AB5" s="25"/>
      <x:c r="AC5" s="25"/>
      <x:c r="AD5" s="26"/>
    </x:row>
    <x:row r="6" ht="22" customHeight="1">
      <x:c r="B6" s="18" t="str">
        <x:v>GitHub owner</x:v>
      </x:c>
      <x:c r="C6" s="23" t="str">
        <x:v>peterchen0122</x:v>
      </x:c>
      <x:c r="D6" s="23"/>
      <x:c r="E6" s="23"/>
      <x:c r="F6" s="27" t="str">
        <x:v>週起始</x:v>
      </x:c>
      <x:c r="G6" s="28"/>
      <x:c r="H6" s="48" t="n">
        <x:v>46279</x:v>
      </x:c>
      <x:c r="I6" s="48"/>
      <x:c r="J6" s="15"/>
      <x:c r="K6" s="42" t="n">
        <x:f>COUNTA($C$10:$C$39)</x:f>
        <x:v>8</x:v>
      </x:c>
      <x:c r="L6" s="43"/>
      <x:c r="M6" s="43"/>
      <x:c r="N6" s="44"/>
      <x:c r="O6" s="45" t="n">
        <x:f>COUNTIF($E$10:$E$39,"Complete")</x:f>
        <x:v>2</x:v>
      </x:c>
      <x:c r="P6" s="46"/>
      <x:c r="Q6" s="46"/>
      <x:c r="R6" s="47"/>
      <x:c r="S6" s="35" t="n">
        <x:f>COUNTIF($E$10:$E$39,"In Progress")</x:f>
        <x:v>0</x:v>
      </x:c>
      <x:c r="T6" s="36"/>
      <x:c r="U6" s="36"/>
      <x:c r="V6" s="37"/>
      <x:c r="W6" s="38" t="n">
        <x:f>COUNTIF($E$10:$E$39,"At Risk")</x:f>
        <x:v>1</x:v>
      </x:c>
      <x:c r="X6" s="39"/>
      <x:c r="Y6" s="39"/>
      <x:c r="Z6" s="40"/>
      <x:c r="AA6" s="38" t="n">
        <x:f>COUNTIF($F$10:$F$39,"P0")</x:f>
        <x:v>2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維護工作與責任</x:v>
      </x:c>
      <x:c r="C8" s="21"/>
      <x:c r="D8" s="21"/>
      <x:c r="E8" s="21"/>
      <x:c r="F8" s="21"/>
      <x:c r="G8" s="21"/>
      <x:c r="H8" s="21"/>
      <x:c r="I8" s="21"/>
      <x:c r="J8" s="15"/>
      <x:c r="K8" s="21" t="str">
        <x:v>20 週排程（待排程項目不填日期）</x:v>
      </x:c>
      <x:c r="L8" s="21"/>
      <x:c r="M8" s="21"/>
      <x:c r="N8" s="21"/>
      <x:c r="O8" s="21"/>
      <x:c r="P8" s="21"/>
      <x:c r="Q8" s="21"/>
      <x:c r="R8" s="21"/>
      <x:c r="S8" s="21"/>
      <x:c r="T8" s="21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</x:row>
    <x:row r="9" ht="28" customHeight="1">
      <x:c r="B9" s="1" t="str">
        <x:v>類別</x:v>
      </x:c>
      <x:c r="C9" s="1" t="str">
        <x:v>工作</x:v>
      </x:c>
      <x:c r="D9" s="1" t="str">
        <x:v>負責人</x:v>
      </x:c>
      <x:c r="E9" s="1" t="str">
        <x:v>狀態</x:v>
      </x:c>
      <x:c r="F9" s="1" t="str">
        <x:v>優先</x:v>
      </x:c>
      <x:c r="G9" s="1" t="str">
        <x:v>開始日</x:v>
      </x:c>
      <x:c r="H9" s="1" t="str">
        <x:v>完成日</x:v>
      </x:c>
      <x:c r="I9" s="1" t="str">
        <x:v>天數</x:v>
      </x:c>
      <x:c r="J9" s="15"/>
      <x:c r="K9" s="2" t="n">
        <x:f>$H$6</x:f>
        <x:v>46279</x:v>
      </x:c>
      <x:c r="L9" s="2" t="n">
        <x:f t="shared" ref="L9:AD9" si="0">K9+7</x:f>
        <x:v>46286</x:v>
      </x:c>
      <x:c r="M9" s="2" t="n">
        <x:f t="shared" si="0">L9+7</x:f>
        <x:v>46293</x:v>
      </x:c>
      <x:c r="N9" s="2" t="n">
        <x:f t="shared" si="0">M9+7</x:f>
        <x:v>46300</x:v>
      </x:c>
      <x:c r="O9" s="2" t="n">
        <x:f t="shared" si="0">N9+7</x:f>
        <x:v>46307</x:v>
      </x:c>
      <x:c r="P9" s="2" t="n">
        <x:f t="shared" si="0">O9+7</x:f>
        <x:v>46314</x:v>
      </x:c>
      <x:c r="Q9" s="2" t="n">
        <x:f t="shared" si="0">P9+7</x:f>
        <x:v>46321</x:v>
      </x:c>
      <x:c r="R9" s="2" t="n">
        <x:f t="shared" si="0">Q9+7</x:f>
        <x:v>46328</x:v>
      </x:c>
      <x:c r="S9" s="2" t="n">
        <x:f t="shared" si="0">R9+7</x:f>
        <x:v>46335</x:v>
      </x:c>
      <x:c r="T9" s="2" t="n">
        <x:f t="shared" si="0">S9+7</x:f>
        <x:v>46342</x:v>
      </x:c>
      <x:c r="U9" s="2" t="n">
        <x:f t="shared" si="0">T9+7</x:f>
        <x:v>46349</x:v>
      </x:c>
      <x:c r="V9" s="2" t="n">
        <x:f t="shared" si="0">U9+7</x:f>
        <x:v>46356</x:v>
      </x:c>
      <x:c r="W9" s="2" t="n">
        <x:f t="shared" si="0">V9+7</x:f>
        <x:v>46363</x:v>
      </x:c>
      <x:c r="X9" s="2" t="n">
        <x:f t="shared" si="0">W9+7</x:f>
        <x:v>46370</x:v>
      </x:c>
      <x:c r="Y9" s="2" t="n">
        <x:f t="shared" si="0">X9+7</x:f>
        <x:v>46377</x:v>
      </x:c>
      <x:c r="Z9" s="2" t="n">
        <x:f t="shared" si="0">Y9+7</x:f>
        <x:v>46384</x:v>
      </x:c>
      <x:c r="AA9" s="2" t="n">
        <x:f t="shared" si="0">Z9+7</x:f>
        <x:v>46391</x:v>
      </x:c>
      <x:c r="AB9" s="2" t="n">
        <x:f t="shared" si="0">AA9+7</x:f>
        <x:v>46398</x:v>
      </x:c>
      <x:c r="AC9" s="2" t="n">
        <x:f t="shared" si="0">AB9+7</x:f>
        <x:v>46405</x:v>
      </x:c>
      <x:c r="AD9" s="2" t="n">
        <x:f t="shared" si="0">AC9+7</x:f>
        <x:v>46412</x:v>
      </x:c>
    </x:row>
    <x:row r="10">
      <x:c r="B10" s="5" t="str">
        <x:v>盤點</x:v>
      </x:c>
      <x:c r="C10" s="4" t="str">
        <x:v>確認倉庫、版本與文件來源</x:v>
      </x:c>
      <x:c r="D10" s="7" t="str"/>
      <x:c r="E10" s="7" t="str">
        <x:v>Complete</x:v>
      </x:c>
      <x:c r="F10" s="7" t="str">
        <x:v>P1</x:v>
      </x:c>
      <x:c r="G10" s="49" t="n">
        <x:v>46281</x:v>
      </x:c>
      <x:c r="H10" s="49" t="n">
        <x:v>46281</x:v>
      </x:c>
      <x:c r="I10" s="11" t="n">
        <x:f t="shared" ref="I10:I39" si="1">IF(OR(G10="",H10="",H10&lt;G10),"",H10-G10+1)</x:f>
        <x:v>1</x:v>
      </x:c>
      <x:c r="J10" s="15"/>
      <x:c r="K10" s="12" t="n">
        <x:f t="shared" ref="K10:T19" si="2">IF(OR($G10="",$H10="",$H10&lt;$G10),"",IF(AND(K$9&lt;=$H10,K$9+6&gt;=$G10),1,""))</x:f>
        <x:v>1</x:v>
      </x:c>
      <x:c r="L10" s="13" t="str">
        <x:f t="shared" si="2">IF(OR($G10="",$H10="",$H10&lt;$G10),"",IF(AND(L$9&lt;=$H10,L$9+6&gt;=$G10),1,""))</x:f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紀錄</x:v>
      </x:c>
      <x:c r="C11" s="3" t="str">
        <x:v>建立版本 Excel 與來源連結</x:v>
      </x:c>
      <x:c r="D11" s="8" t="str"/>
      <x:c r="E11" s="8" t="str">
        <x:v>Complete</x:v>
      </x:c>
      <x:c r="F11" s="8" t="str">
        <x:v>P1</x:v>
      </x:c>
      <x:c r="G11" s="50" t="n">
        <x:v>46281</x:v>
      </x:c>
      <x:c r="H11" s="50" t="n">
        <x:v>46281</x:v>
      </x:c>
      <x:c r="I11" s="11" t="n">
        <x:f t="shared" si="1">IF(OR(G11="",H11="",H11&lt;G11),"",H11-G11+1)</x:f>
        <x:v>1</x:v>
      </x:c>
      <x:c r="J11" s="15"/>
      <x:c r="K11" s="12" t="n">
        <x:f t="shared" si="2">IF(OR($G11="",$H11="",$H11&lt;$G11),"",IF(AND(K$9&lt;=$H11,K$9+6&gt;=$G11),1,""))</x:f>
        <x:v>1</x:v>
      </x:c>
      <x:c r="L11" s="13" t="str">
        <x:f t="shared" si="2">IF(OR($G11="",$H11="",$H11&lt;$G11),"",IF(AND(L$9&lt;=$H11,L$9+6&gt;=$G11),1,""))</x:f>
      </x:c>
      <x:c r="M11" s="12" t="str">
        <x:f t="shared" si="2">IF(OR($G11="",$H11="",$H11&lt;$G11),"",IF(AND(M$9&lt;=$H11,M$9+6&gt;=$G11),1,""))</x:f>
      </x:c>
      <x:c r="N11" s="13" t="str">
        <x:f t="shared" si="2">IF(OR($G11="",$H11="",$H11&lt;$G11),"",IF(AND(N$9&lt;=$H11,N$9+6&gt;=$G11),1,""))</x:f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權責</x:v>
      </x:c>
      <x:c r="C12" s="4" t="str">
        <x:v>指定版本維護人與覆核人</x:v>
      </x:c>
      <x:c r="D12" s="7" t="str"/>
      <x:c r="E12" s="7" t="str">
        <x:v>Not Started</x:v>
      </x:c>
      <x:c r="F12" s="7" t="str">
        <x:v>P1</x:v>
      </x:c>
      <x:c r="G12" s="49"/>
      <x:c r="H12" s="49"/>
      <x:c r="I12" s="11" t="str">
        <x:f t="shared" si="1">IF(OR(G12="",H12="",H12&lt;G12),"",H12-G12+1)</x:f>
      </x:c>
      <x:c r="J12" s="15"/>
      <x:c r="K12" s="12" t="str">
        <x:f t="shared" si="2">IF(OR($G12="",$H12="",$H12&lt;$G12),"",IF(AND(K$9&lt;=$H12,K$9+6&gt;=$G12),1,""))</x:f>
      </x:c>
      <x:c r="L12" s="13" t="str">
        <x:f t="shared" si="2">IF(OR($G12="",$H12="",$H12&lt;$G12),"",IF(AND(L$9&lt;=$H12,L$9+6&gt;=$G12),1,""))</x:f>
      </x:c>
      <x:c r="M12" s="12" t="str">
        <x:f t="shared" si="2">IF(OR($G12="",$H12="",$H12&lt;$G12),"",IF(AND(M$9&lt;=$H12,M$9+6&gt;=$G12),1,""))</x:f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驗證</x:v>
      </x:c>
      <x:c r="C13" s="3" t="str">
        <x:v>核對實際發布日及測試證據</x:v>
      </x:c>
      <x:c r="D13" s="8" t="str"/>
      <x:c r="E13" s="8" t="str">
        <x:v>Not Started</x:v>
      </x:c>
      <x:c r="F13" s="8" t="str">
        <x:v>P0</x:v>
      </x:c>
      <x:c r="G13" s="50"/>
      <x:c r="H13" s="50"/>
      <x:c r="I13" s="11" t="str">
        <x:f t="shared" si="1">IF(OR(G13="",H13="",H13&lt;G13),"",H13-G13+1)</x:f>
      </x:c>
      <x:c r="J13" s="15"/>
      <x:c r="K13" s="12" t="str">
        <x:f t="shared" si="2">IF(OR($G13="",$H13="",$H13&lt;$G13),"",IF(AND(K$9&lt;=$H13,K$9+6&gt;=$G13),1,""))</x:f>
      </x:c>
      <x:c r="L13" s="13" t="str">
        <x:f t="shared" si="2">IF(OR($G13="",$H13="",$H13&lt;$G13),"",IF(AND(L$9&lt;=$H13,L$9+6&gt;=$G13),1,""))</x:f>
      </x:c>
      <x:c r="M13" s="12" t="str">
        <x:f t="shared" si="2">IF(OR($G13="",$H13="",$H13&lt;$G13),"",IF(AND(M$9&lt;=$H13,M$9+6&gt;=$G13),1,""))</x:f>
      </x:c>
      <x:c r="N13" s="13" t="str">
        <x:f t="shared" si="2">IF(OR($G13="",$H13="",$H13&lt;$G13),"",IF(AND(N$9&lt;=$H13,N$9+6&gt;=$G13),1,""))</x:f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GitHub</x:v>
      </x:c>
      <x:c r="C14" s="4" t="str">
        <x:v>審閱版本紀錄並納入正式分支</x:v>
      </x:c>
      <x:c r="D14" s="7" t="str"/>
      <x:c r="E14" s="7" t="str">
        <x:v>Not Started</x:v>
      </x:c>
      <x:c r="F14" s="7" t="str">
        <x:v>P1</x:v>
      </x:c>
      <x:c r="G14" s="49"/>
      <x:c r="H14" s="49"/>
      <x:c r="I14" s="11" t="str">
        <x:f t="shared" si="1">IF(OR(G14="",H14="",H14&lt;G14),"",H14-G14+1)</x:f>
      </x:c>
      <x:c r="J14" s="15"/>
      <x:c r="K14" s="12" t="str">
        <x:f t="shared" si="2">IF(OR($G14="",$H14="",$H14&lt;$G14),"",IF(AND(K$9&lt;=$H14,K$9+6&gt;=$G14),1,""))</x:f>
      </x:c>
      <x:c r="L14" s="13" t="str">
        <x:f t="shared" si="2">IF(OR($G14="",$H14="",$H14&lt;$G14),"",IF(AND(L$9&lt;=$H14,L$9+6&gt;=$G14),1,""))</x:f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SVN</x:v>
      </x:c>
      <x:c r="C15" s="3" t="str">
        <x:v>確認目的目錄及可用認證</x:v>
      </x:c>
      <x:c r="D15" s="8" t="str"/>
      <x:c r="E15" s="8" t="str">
        <x:v>At Risk</x:v>
      </x:c>
      <x:c r="F15" s="8" t="str">
        <x:v>P0</x:v>
      </x:c>
      <x:c r="G15" s="50"/>
      <x:c r="H15" s="50"/>
      <x:c r="I15" s="11" t="str">
        <x:f t="shared" si="1">IF(OR(G15="",H15="",H15&lt;G15),"",H15-G15+1)</x:f>
      </x:c>
      <x:c r="J15" s="15"/>
      <x:c r="K15" s="12" t="str">
        <x:f t="shared" si="2">IF(OR($G15="",$H15="",$H15&lt;$G15),"",IF(AND(K$9&lt;=$H15,K$9+6&gt;=$G15),1,""))</x:f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同步</x:v>
      </x:c>
      <x:c r="C16" s="4" t="str">
        <x:v>提交相同 Excel 至 SVN</x:v>
      </x:c>
      <x:c r="D16" s="7" t="str"/>
      <x:c r="E16" s="7" t="str">
        <x:v>Not Started</x:v>
      </x:c>
      <x:c r="F16" s="7" t="str">
        <x:v>P1</x:v>
      </x:c>
      <x:c r="G16" s="49"/>
      <x:c r="H16" s="49"/>
      <x:c r="I16" s="11" t="str">
        <x:f t="shared" si="1">IF(OR(G16="",H16="",H16&lt;G16),"",H16-G16+1)</x:f>
      </x:c>
      <x:c r="J16" s="15"/>
      <x:c r="K16" s="12" t="str">
        <x:f t="shared" si="2">IF(OR($G16="",$H16="",$H16&lt;$G16),"",IF(AND(K$9&lt;=$H16,K$9+6&gt;=$G16),1,""))</x:f>
      </x:c>
      <x:c r="L16" s="13" t="str">
        <x:f t="shared" si="2">IF(OR($G16="",$H16="",$H16&lt;$G16),"",IF(AND(L$9&lt;=$H16,L$9+6&gt;=$G16),1,""))</x:f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核對</x:v>
      </x:c>
      <x:c r="C17" s="3" t="str">
        <x:v>比對兩端 SHA-256 並保存回執</x:v>
      </x:c>
      <x:c r="D17" s="8" t="str"/>
      <x:c r="E17" s="8" t="str">
        <x:v>Not Started</x:v>
      </x:c>
      <x:c r="F17" s="8" t="str">
        <x:v>P1</x:v>
      </x:c>
      <x:c r="G17" s="50"/>
      <x:c r="H17" s="50"/>
      <x:c r="I17" s="11" t="str">
        <x:f t="shared" si="1">IF(OR(G17="",H17="",H17&lt;G17),"",H17-G17+1)</x:f>
      </x:c>
      <x:c r="J17" s="15"/>
      <x:c r="K17" s="12" t="str">
        <x:f t="shared" si="2">IF(OR($G17="",$H17="",$H17&lt;$G17),"",IF(AND(K$9&lt;=$H17,K$9+6&gt;=$G17),1,""))</x:f>
      </x:c>
      <x:c r="L17" s="13" t="str">
        <x:f t="shared" si="2">IF(OR($G17="",$H17="",$H17&lt;$G17),"",IF(AND(L$9&lt;=$H17,L$9+6&gt;=$G17),1,""))</x:f>
      </x:c>
      <x:c r="M17" s="12" t="str">
        <x:f t="shared" si="2">IF(OR($G17="",$H17="",$H17&lt;$G17),"",IF(AND(M$9&lt;=$H17,M$9+6&gt;=$G17),1,""))</x:f>
      </x:c>
      <x:c r="N17" s="13" t="str">
        <x:f t="shared" si="2">IF(OR($G17="",$H17="",$H17&lt;$G17),"",IF(AND(N$9&lt;=$H17,N$9+6&gt;=$G17),1,""))</x:f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/>
      <x:c r="C18" s="4"/>
      <x:c r="D18" s="7"/>
      <x:c r="E18" s="7"/>
      <x:c r="F18" s="7"/>
      <x:c r="G18" s="49"/>
      <x:c r="H18" s="49"/>
      <x:c r="I18" s="11" t="str">
        <x:f t="shared" si="1">IF(OR(G18="",H18="",H18&lt;G18),"",H18-G18+1)</x:f>
      </x:c>
      <x:c r="J18" s="15"/>
      <x:c r="K18" s="12" t="str">
        <x:f t="shared" si="2">IF(OR($G18="",$H18="",$H18&lt;$G18),"",IF(AND(K$9&lt;=$H18,K$9+6&gt;=$G18),1,""))</x:f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/>
      <x:c r="C19" s="3"/>
      <x:c r="D19" s="8"/>
      <x:c r="E19" s="8"/>
      <x:c r="F19" s="8"/>
      <x:c r="G19" s="50"/>
      <x:c r="H19" s="50"/>
      <x:c r="I19" s="11" t="str">
        <x:f t="shared" si="1">IF(OR(G19="",H19="",H19&lt;G19),"",H19-G19+1)</x:f>
      </x:c>
      <x:c r="J19" s="15"/>
      <x:c r="K19" s="12" t="str">
        <x:f t="shared" si="2">IF(OR($G19="",$H19="",$H19&lt;$G19),"",IF(AND(K$9&lt;=$H19,K$9+6&gt;=$G19),1,""))</x:f>
      </x:c>
      <x:c r="L19" s="13" t="str">
        <x:f t="shared" si="2">IF(OR($G19="",$H19="",$H19&lt;$G19),"",IF(AND(L$9&lt;=$H19,L$9+6&gt;=$G19),1,""))</x:f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/>
      <x:c r="C20" s="4"/>
      <x:c r="D20" s="7"/>
      <x:c r="E20" s="7"/>
      <x:c r="F20" s="7"/>
      <x:c r="G20" s="49"/>
      <x:c r="H20" s="49"/>
      <x:c r="I20" s="11" t="str">
        <x:f t="shared" si="1">IF(OR(G20="",H20="",H20&lt;G20),"",H20-G20+1)</x:f>
      </x:c>
      <x:c r="J20" s="15"/>
      <x:c r="K20" s="12" t="str">
        <x:f t="shared" ref="K20:T29" si="4">IF(OR($G20="",$H20="",$H20&lt;$G20),"",IF(AND(K$9&lt;=$H20,K$9+6&gt;=$G20),1,""))</x:f>
      </x:c>
      <x:c r="L20" s="13" t="str">
        <x:f t="shared" si="4">IF(OR($G20="",$H20="",$H20&lt;$G20),"",IF(AND(L$9&lt;=$H20,L$9+6&gt;=$G20),1,""))</x:f>
      </x:c>
      <x:c r="M20" s="12" t="str">
        <x:f t="shared" si="4">IF(OR($G20="",$H20="",$H20&lt;$G20),"",IF(AND(M$9&lt;=$H20,M$9+6&gt;=$G20),1,""))</x:f>
      </x:c>
      <x:c r="N20" s="13" t="str">
        <x:f t="shared" si="4">IF(OR($G20="",$H20="",$H20&lt;$G20),"",IF(AND(N$9&lt;=$H20,N$9+6&gt;=$G20),1,""))</x:f>
      </x:c>
      <x:c r="O20" s="12" t="str">
        <x:f t="shared" si="4">IF(OR($G20="",$H20="",$H20&lt;$G20),"",IF(AND(O$9&lt;=$H20,O$9+6&gt;=$G20),1,""))</x:f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/>
      <x:c r="C21" s="3"/>
      <x:c r="D21" s="8"/>
      <x:c r="E21" s="8"/>
      <x:c r="F21" s="8"/>
      <x:c r="G21" s="50"/>
      <x:c r="H21" s="50"/>
      <x:c r="I21" s="11" t="str">
        <x:f t="shared" si="1">IF(OR(G21="",H21="",H21&lt;G21),"",H21-G21+1)</x:f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str">
        <x:f t="shared" si="4">IF(OR($G21="",$H21="",$H21&lt;$G21),"",IF(AND(M$9&lt;=$H21,M$9+6&gt;=$G21),1,""))</x:f>
      </x:c>
      <x:c r="N21" s="13" t="str">
        <x:f t="shared" si="4">IF(OR($G21="",$H21="",$H21&lt;$G21),"",IF(AND(N$9&lt;=$H21,N$9+6&gt;=$G21),1,""))</x:f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/>
      <x:c r="C22" s="4"/>
      <x:c r="D22" s="7"/>
      <x:c r="E22" s="7"/>
      <x:c r="F22" s="7"/>
      <x:c r="G22" s="49"/>
      <x:c r="H22" s="49"/>
      <x:c r="I22" s="11" t="str">
        <x:f t="shared" si="1">IF(OR(G22="",H22="",H22&lt;G22),"",H22-G22+1)</x:f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str">
        <x:f t="shared" si="4">IF(OR($G22="",$H22="",$H22&lt;$G22),"",IF(AND(M$9&lt;=$H22,M$9+6&gt;=$G22),1,""))</x:f>
      </x:c>
      <x:c r="N22" s="13" t="str">
        <x:f t="shared" si="4">IF(OR($G22="",$H22="",$H22&lt;$G22),"",IF(AND(N$9&lt;=$H22,N$9+6&gt;=$G22),1,""))</x:f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/>
      <x:c r="C23" s="3"/>
      <x:c r="D23" s="8"/>
      <x:c r="E23" s="8"/>
      <x:c r="F23" s="8"/>
      <x:c r="G23" s="50"/>
      <x:c r="H23" s="50"/>
      <x:c r="I23" s="11" t="str">
        <x:f t="shared" si="1">IF(OR(G23="",H23="",H23&lt;G23),"",H23-G23+1)</x:f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str">
        <x:f t="shared" si="4">IF(OR($G23="",$H23="",$H23&lt;$G23),"",IF(AND(N$9&lt;=$H23,N$9+6&gt;=$G23),1,""))</x:f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/>
      <x:c r="C24" s="4"/>
      <x:c r="D24" s="7"/>
      <x:c r="E24" s="7"/>
      <x:c r="F24" s="7"/>
      <x:c r="G24" s="49"/>
      <x:c r="H24" s="49"/>
      <x:c r="I24" s="11" t="str">
        <x:f t="shared" si="1">IF(OR(G24="",H24="",H24&lt;G24),"",H24-G24+1)</x:f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str">
        <x:f t="shared" si="4">IF(OR($G24="",$H24="",$H24&lt;$G24),"",IF(AND(O$9&lt;=$H24,O$9+6&gt;=$G24),1,""))</x:f>
      </x:c>
      <x:c r="P24" s="13" t="str">
        <x:f t="shared" si="4">IF(OR($G24="",$H24="",$H24&lt;$G24),"",IF(AND(P$9&lt;=$H24,P$9+6&gt;=$G24),1,""))</x:f>
      </x:c>
      <x:c r="Q24" s="12" t="str">
        <x:f t="shared" si="4">IF(OR($G24="",$H24="",$H24&lt;$G24),"",IF(AND(Q$9&lt;=$H24,Q$9+6&gt;=$G24),1,""))</x:f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/>
      <x:c r="C25" s="3"/>
      <x:c r="D25" s="8"/>
      <x:c r="E25" s="8"/>
      <x:c r="F25" s="8"/>
      <x:c r="G25" s="50"/>
      <x:c r="H25" s="50"/>
      <x:c r="I25" s="11" t="str">
        <x:f t="shared" si="1">IF(OR(G25="",H25="",H25&lt;G25),"",H25-G25+1)</x:f>
      </x:c>
      <x:c r="J25" s="15"/>
      <x:c r="K25" s="12" t="str">
        <x:f t="shared" si="4">IF(OR($G25="",$H25="",$H25&lt;$G25),"",IF(AND(K$9&lt;=$H25,K$9+6&gt;=$G25),1,""))</x:f>
      </x:c>
      <x:c r="L25" s="13" t="str">
        <x:f t="shared" si="4">IF(OR($G25="",$H25="",$H25&lt;$G25),"",IF(AND(L$9&lt;=$H25,L$9+6&gt;=$G25),1,""))</x:f>
      </x:c>
      <x:c r="M25" s="12" t="str">
        <x:f t="shared" si="4">IF(OR($G25="",$H25="",$H25&lt;$G25),"",IF(AND(M$9&lt;=$H25,M$9+6&gt;=$G25),1,""))</x:f>
      </x:c>
      <x:c r="N25" s="13" t="str">
        <x:f t="shared" si="4">IF(OR($G25="",$H25="",$H25&lt;$G25),"",IF(AND(N$9&lt;=$H25,N$9+6&gt;=$G25),1,""))</x:f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/>
      <x:c r="C26" s="4"/>
      <x:c r="D26" s="7"/>
      <x:c r="E26" s="7"/>
      <x:c r="F26" s="7"/>
      <x:c r="G26" s="49"/>
      <x:c r="H26" s="49"/>
      <x:c r="I26" s="11" t="str">
        <x:f t="shared" si="1">IF(OR(G26="",H26="",H26&lt;G26),"",H26-G26+1)</x:f>
      </x:c>
      <x:c r="J26" s="15"/>
      <x:c r="K26" s="12" t="str">
        <x:f t="shared" si="4">IF(OR($G26="",$H26="",$H26&lt;$G26),"",IF(AND(K$9&lt;=$H26,K$9+6&gt;=$G26),1,""))</x:f>
      </x:c>
      <x:c r="L26" s="13" t="str">
        <x:f t="shared" si="4">IF(OR($G26="",$H26="",$H26&lt;$G26),"",IF(AND(L$9&lt;=$H26,L$9+6&gt;=$G26),1,""))</x:f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/>
      <x:c r="C27" s="3"/>
      <x:c r="D27" s="8"/>
      <x:c r="E27" s="8"/>
      <x:c r="F27" s="8"/>
      <x:c r="G27" s="50"/>
      <x:c r="H27" s="50"/>
      <x:c r="I27" s="11" t="str">
        <x:f t="shared" si="1">IF(OR(G27="",H27="",H27&lt;G27),"",H27-G27+1)</x:f>
      </x:c>
      <x:c r="J27" s="15"/>
      <x:c r="K27" s="12" t="str">
        <x:f t="shared" si="4">IF(OR($G27="",$H27="",$H27&lt;$G27),"",IF(AND(K$9&lt;=$H27,K$9+6&gt;=$G27),1,""))</x:f>
      </x:c>
      <x:c r="L27" s="13" t="str">
        <x:f t="shared" si="4">IF(OR($G27="",$H27="",$H27&lt;$G27),"",IF(AND(L$9&lt;=$H27,L$9+6&gt;=$G27),1,""))</x:f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/>
      <x:c r="C28" s="4"/>
      <x:c r="D28" s="7"/>
      <x:c r="E28" s="7"/>
      <x:c r="F28" s="7"/>
      <x:c r="G28" s="49"/>
      <x:c r="H28" s="49"/>
      <x:c r="I28" s="11" t="str">
        <x:f t="shared" si="1">IF(OR(G28="",H28="",H28&lt;G28),"",H28-G28+1)</x:f>
      </x:c>
      <x:c r="J28" s="15"/>
      <x:c r="K28" s="12" t="str">
        <x:f t="shared" si="4">IF(OR($G28="",$H28="",$H28&lt;$G28),"",IF(AND(K$9&lt;=$H28,K$9+6&gt;=$G28),1,""))</x:f>
      </x:c>
      <x:c r="L28" s="13" t="str">
        <x:f t="shared" si="4">IF(OR($G28="",$H28="",$H28&lt;$G28),"",IF(AND(L$9&lt;=$H28,L$9+6&gt;=$G28),1,""))</x:f>
      </x:c>
      <x:c r="M28" s="12" t="str">
        <x:f t="shared" si="4">IF(OR($G28="",$H28="",$H28&lt;$G28),"",IF(AND(M$9&lt;=$H28,M$9+6&gt;=$G28),1,""))</x:f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/>
      <x:c r="C29" s="3"/>
      <x:c r="D29" s="8"/>
      <x:c r="E29" s="8"/>
      <x:c r="F29" s="8"/>
      <x:c r="G29" s="50"/>
      <x:c r="H29" s="50"/>
      <x:c r="I29" s="11" t="str">
        <x:f t="shared" si="1">IF(OR(G29="",H29="",H29&lt;G29),"",H29-G29+1)</x:f>
      </x:c>
      <x:c r="J29" s="15"/>
      <x:c r="K29" s="12" t="str">
        <x:f t="shared" si="4">IF(OR($G29="",$H29="",$H29&lt;$G29),"",IF(AND(K$9&lt;=$H29,K$9+6&gt;=$G29),1,""))</x:f>
      </x:c>
      <x:c r="L29" s="13" t="str">
        <x:f t="shared" si="4">IF(OR($G29="",$H29="",$H29&lt;$G29),"",IF(AND(L$9&lt;=$H29,L$9+6&gt;=$G29),1,""))</x:f>
      </x:c>
      <x:c r="M29" s="12" t="str">
        <x:f t="shared" si="4">IF(OR($G29="",$H29="",$H29&lt;$G29),"",IF(AND(M$9&lt;=$H29,M$9+6&gt;=$G29),1,""))</x:f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/>
      <x:c r="C30" s="4"/>
      <x:c r="D30" s="7"/>
      <x:c r="E30" s="7"/>
      <x:c r="F30" s="7"/>
      <x:c r="G30" s="49"/>
      <x:c r="H30" s="49"/>
      <x:c r="I30" s="11" t="str">
        <x:f t="shared" si="1">IF(OR(G30="",H30="",H30&lt;G30),"",H30-G30+1)</x:f>
      </x:c>
      <x:c r="J30" s="15"/>
      <x:c r="K30" s="12" t="str">
        <x:f t="shared" ref="K30:T39" si="6">IF(OR($G30="",$H30="",$H30&lt;$G30),"",IF(AND(K$9&lt;=$H30,K$9+6&gt;=$G30),1,""))</x:f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/>
      <x:c r="C31" s="3"/>
      <x:c r="D31" s="8"/>
      <x:c r="E31" s="8"/>
      <x:c r="F31" s="8"/>
      <x:c r="G31" s="51"/>
      <x:c r="H31" s="51"/>
      <x:c r="I31" s="11" t="str">
        <x:f t="shared" si="1">IF(OR(G31="",H31="",H31&lt;G31),"",H31-G31+1)</x:f>
      </x:c>
      <x:c r="J31" s="15"/>
      <x:c r="K31" s="12" t="str">
        <x:f t="shared" si="6">IF(OR($G31="",$H31="",$H31&lt;$G31),"",IF(AND(K$9&lt;=$H31,K$9+6&gt;=$G31),1,""))</x:f>
      </x:c>
      <x:c r="L31" s="13" t="str">
        <x:f t="shared" si="6">IF(OR($G31="",$H31="",$H31&lt;$G31),"",IF(AND(L$9&lt;=$H31,L$9+6&gt;=$G31),1,""))</x:f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/>
      <x:c r="C32" s="4"/>
      <x:c r="D32" s="7"/>
      <x:c r="E32" s="7"/>
      <x:c r="F32" s="7"/>
      <x:c r="G32" s="52"/>
      <x:c r="H32" s="52"/>
      <x:c r="I32" s="11" t="str">
        <x:f t="shared" si="1">IF(OR(G32="",H32="",H32&lt;G32),"",H32-G32+1)</x:f>
      </x:c>
      <x:c r="J32" s="15"/>
      <x:c r="K32" s="12" t="str">
        <x:f t="shared" si="6">IF(OR($G32="",$H32="",$H32&lt;$G32),"",IF(AND(K$9&lt;=$H32,K$9+6&gt;=$G32),1,""))</x:f>
      </x:c>
      <x:c r="L32" s="13" t="str">
        <x:f t="shared" si="6">IF(OR($G32="",$H32="",$H32&lt;$G32),"",IF(AND(L$9&lt;=$H32,L$9+6&gt;=$G32),1,""))</x:f>
      </x:c>
      <x:c r="M32" s="12" t="str">
        <x:f t="shared" si="6">IF(OR($G32="",$H32="",$H32&lt;$G32),"",IF(AND(M$9&lt;=$H32,M$9+6&gt;=$G32),1,""))</x:f>
      </x:c>
      <x:c r="N32" s="13" t="str">
        <x:f t="shared" si="6">IF(OR($G32="",$H32="",$H32&lt;$G32),"",IF(AND(N$9&lt;=$H32,N$9+6&gt;=$G32),1,""))</x:f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/>
      <x:c r="C33" s="3"/>
      <x:c r="D33" s="8"/>
      <x:c r="E33" s="8"/>
      <x:c r="F33" s="8"/>
      <x:c r="G33" s="51"/>
      <x:c r="H33" s="51"/>
      <x:c r="I33" s="11" t="str">
        <x:f t="shared" si="1">IF(OR(G33="",H33="",H33&lt;G33),"",H33-G33+1)</x:f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str">
        <x:f t="shared" si="6">IF(OR($G33="",$H33="",$H33&lt;$G33),"",IF(AND(O$9&lt;=$H33,O$9+6&gt;=$G33),1,""))</x:f>
      </x:c>
      <x:c r="P33" s="13" t="str">
        <x:f t="shared" si="6">IF(OR($G33="",$H33="",$H33&lt;$G33),"",IF(AND(P$9&lt;=$H33,P$9+6&gt;=$G33),1,""))</x:f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/>
      <x:c r="C34" s="4"/>
      <x:c r="D34" s="7"/>
      <x:c r="E34" s="7"/>
      <x:c r="F34" s="7"/>
      <x:c r="G34" s="52"/>
      <x:c r="H34" s="52"/>
      <x:c r="I34" s="11" t="str">
        <x:f t="shared" si="1">IF(OR(G34="",H34="",H34&lt;G34),"",H34-G34+1)</x:f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str">
        <x:f t="shared" si="6">IF(OR($G34="",$H34="",$H34&lt;$G34),"",IF(AND(N$9&lt;=$H34,N$9+6&gt;=$G34),1,""))</x:f>
      </x:c>
      <x:c r="O34" s="12" t="str">
        <x:f t="shared" si="6">IF(OR($G34="",$H34="",$H34&lt;$G34),"",IF(AND(O$9&lt;=$H34,O$9+6&gt;=$G34),1,""))</x:f>
      </x:c>
      <x:c r="P34" s="13" t="str">
        <x:f t="shared" si="6">IF(OR($G34="",$H34="",$H34&lt;$G34),"",IF(AND(P$9&lt;=$H34,P$9+6&gt;=$G34),1,""))</x:f>
      </x:c>
      <x:c r="Q34" s="12" t="str">
        <x:f t="shared" si="6">IF(OR($G34="",$H34="",$H34&lt;$G34),"",IF(AND(Q$9&lt;=$H34,Q$9+6&gt;=$G34),1,""))</x:f>
      </x:c>
      <x:c r="R34" s="13" t="str">
        <x:f t="shared" si="6">IF(OR($G34="",$H34="",$H34&lt;$G34),"",IF(AND(R$9&lt;=$H34,R$9+6&gt;=$G34),1,""))</x:f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/>
      <x:c r="C35" s="3"/>
      <x:c r="D35" s="8"/>
      <x:c r="E35" s="8"/>
      <x:c r="F35" s="8"/>
      <x:c r="G35" s="51"/>
      <x:c r="H35" s="51"/>
      <x:c r="I35" s="11" t="str">
        <x:f t="shared" si="1">IF(OR(G35="",H35="",H35&lt;G35),"",H35-G35+1)</x:f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str">
        <x:f t="shared" si="6">IF(OR($G35="",$H35="",$H35&lt;$G35),"",IF(AND(O$9&lt;=$H35,O$9+6&gt;=$G35),1,""))</x:f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/>
      <x:c r="C36" s="4"/>
      <x:c r="D36" s="7"/>
      <x:c r="E36" s="7"/>
      <x:c r="F36" s="7"/>
      <x:c r="G36" s="52"/>
      <x:c r="H36" s="52"/>
      <x:c r="I36" s="11" t="str">
        <x:f t="shared" si="1">IF(OR(G36="",H36="",H36&lt;G36),"",H36-G36+1)</x:f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str">
        <x:f t="shared" si="6">IF(OR($G36="",$H36="",$H36&lt;$G36),"",IF(AND(P$9&lt;=$H36,P$9+6&gt;=$G36),1,""))</x:f>
      </x:c>
      <x:c r="Q36" s="12" t="str">
        <x:f t="shared" si="6">IF(OR($G36="",$H36="",$H36&lt;$G36),"",IF(AND(Q$9&lt;=$H36,Q$9+6&gt;=$G36),1,""))</x:f>
      </x:c>
      <x:c r="R36" s="13" t="str">
        <x:f t="shared" si="6">IF(OR($G36="",$H36="",$H36&lt;$G36),"",IF(AND(R$9&lt;=$H36,R$9+6&gt;=$G36),1,""))</x:f>
      </x:c>
      <x:c r="S36" s="12" t="str">
        <x:f t="shared" si="6">IF(OR($G36="",$H36="",$H36&lt;$G36),"",IF(AND(S$9&lt;=$H36,S$9+6&gt;=$G36),1,""))</x:f>
      </x:c>
      <x:c r="T36" s="13" t="str">
        <x:f t="shared" si="6">IF(OR($G36="",$H36="",$H36&lt;$G36),"",IF(AND(T$9&lt;=$H36,T$9+6&gt;=$G36),1,""))</x:f>
      </x:c>
      <x:c r="U36" s="12" t="str">
        <x:f t="shared" si="7">IF(OR($G36="",$H36="",$H36&lt;$G36),"",IF(AND(U$9&lt;=$H36,U$9+6&gt;=$G36),1,""))</x:f>
      </x:c>
      <x:c r="V36" s="13" t="str">
        <x:f t="shared" si="7">IF(OR($G36="",$H36="",$H36&lt;$G36),"",IF(AND(V$9&lt;=$H36,V$9+6&gt;=$G36),1,""))</x:f>
      </x:c>
      <x:c r="W36" s="12" t="str">
        <x:f t="shared" si="7">IF(OR($G36="",$H36="",$H36&lt;$G36),"",IF(AND(W$9&lt;=$H36,W$9+6&gt;=$G36),1,""))</x:f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/>
      <x:c r="C37" s="3"/>
      <x:c r="D37" s="8"/>
      <x:c r="E37" s="8"/>
      <x:c r="F37" s="8"/>
      <x:c r="G37" s="51"/>
      <x:c r="H37" s="51"/>
      <x:c r="I37" s="11" t="str">
        <x:f t="shared" si="1">IF(OR(G37="",H37="",H37&lt;G37),"",H37-G37+1)</x:f>
      </x:c>
      <x:c r="J37" s="15"/>
      <x:c r="K37" s="12" t="str">
        <x:f t="shared" si="6">IF(OR($G37="",$H37="",$H37&lt;$G37),"",IF(AND(K$9&lt;=$H37,K$9+6&gt;=$G37),1,""))</x:f>
      </x:c>
      <x:c r="L37" s="13" t="str">
        <x:f t="shared" si="6">IF(OR($G37="",$H37="",$H37&lt;$G37),"",IF(AND(L$9&lt;=$H37,L$9+6&gt;=$G37),1,""))</x:f>
      </x:c>
      <x:c r="M37" s="12" t="str">
        <x:f t="shared" si="6">IF(OR($G37="",$H37="",$H37&lt;$G37),"",IF(AND(M$9&lt;=$H37,M$9+6&gt;=$G37),1,""))</x:f>
      </x:c>
      <x:c r="N37" s="13" t="str">
        <x:f t="shared" si="6">IF(OR($G37="",$H37="",$H37&lt;$G37),"",IF(AND(N$9&lt;=$H37,N$9+6&gt;=$G37),1,""))</x:f>
      </x:c>
      <x:c r="O37" s="12" t="str">
        <x:f t="shared" si="6">IF(OR($G37="",$H37="",$H37&lt;$G37),"",IF(AND(O$9&lt;=$H37,O$9+6&gt;=$G37),1,""))</x:f>
      </x:c>
      <x:c r="P37" s="13" t="str">
        <x:f t="shared" si="6">IF(OR($G37="",$H37="",$H37&lt;$G37),"",IF(AND(P$9&lt;=$H37,P$9+6&gt;=$G37),1,""))</x:f>
      </x:c>
      <x:c r="Q37" s="12" t="str">
        <x:f t="shared" si="6">IF(OR($G37="",$H37="",$H37&lt;$G37),"",IF(AND(Q$9&lt;=$H37,Q$9+6&gt;=$G37),1,""))</x:f>
      </x:c>
      <x:c r="R37" s="13" t="str">
        <x:f t="shared" si="6">IF(OR($G37="",$H37="",$H37&lt;$G37),"",IF(AND(R$9&lt;=$H37,R$9+6&gt;=$G37),1,""))</x:f>
      </x:c>
      <x:c r="S37" s="12" t="str">
        <x:f t="shared" si="6">IF(OR($G37="",$H37="",$H37&lt;$G37),"",IF(AND(S$9&lt;=$H37,S$9+6&gt;=$G37),1,""))</x:f>
      </x:c>
      <x:c r="T37" s="13" t="str">
        <x:f t="shared" si="6">IF(OR($G37="",$H37="",$H37&lt;$G37),"",IF(AND(T$9&lt;=$H37,T$9+6&gt;=$G37),1,""))</x:f>
      </x:c>
      <x:c r="U37" s="12" t="str">
        <x:f t="shared" si="7">IF(OR($G37="",$H37="",$H37&lt;$G37),"",IF(AND(U$9&lt;=$H37,U$9+6&gt;=$G37),1,""))</x:f>
      </x:c>
      <x:c r="V37" s="13" t="str">
        <x:f t="shared" si="7">IF(OR($G37="",$H37="",$H37&lt;$G37),"",IF(AND(V$9&lt;=$H37,V$9+6&gt;=$G37),1,""))</x:f>
      </x:c>
      <x:c r="W37" s="12" t="str">
        <x:f t="shared" si="7">IF(OR($G37="",$H37="",$H37&lt;$G37),"",IF(AND(W$9&lt;=$H37,W$9+6&gt;=$G37),1,""))</x:f>
      </x:c>
      <x:c r="X37" s="13" t="str">
        <x:f t="shared" si="7">IF(OR($G37="",$H37="",$H37&lt;$G37),"",IF(AND(X$9&lt;=$H37,X$9+6&gt;=$G37),1,""))</x:f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/>
      <x:c r="C38" s="4"/>
      <x:c r="D38" s="7"/>
      <x:c r="E38" s="7"/>
      <x:c r="F38" s="7"/>
      <x:c r="G38" s="52"/>
      <x:c r="H38" s="52"/>
      <x:c r="I38" s="11" t="str">
        <x:f t="shared" si="1">IF(OR(G38="",H38="",H38&lt;G38),"",H38-G38+1)</x:f>
      </x:c>
      <x:c r="J38" s="15"/>
      <x:c r="K38" s="12" t="str">
        <x:f t="shared" si="6">IF(OR($G38="",$H38="",$H38&lt;$G38),"",IF(AND(K$9&lt;=$H38,K$9+6&gt;=$G38),1,""))</x:f>
      </x:c>
      <x:c r="L38" s="13" t="str">
        <x:f t="shared" si="6">IF(OR($G38="",$H38="",$H38&lt;$G38),"",IF(AND(L$9&lt;=$H38,L$9+6&gt;=$G38),1,""))</x:f>
      </x:c>
      <x:c r="M38" s="12" t="str">
        <x:f t="shared" si="6">IF(OR($G38="",$H38="",$H38&lt;$G38),"",IF(AND(M$9&lt;=$H38,M$9+6&gt;=$G38),1,""))</x:f>
      </x:c>
      <x:c r="N38" s="13" t="str">
        <x:f t="shared" si="6">IF(OR($G38="",$H38="",$H38&lt;$G38),"",IF(AND(N$9&lt;=$H38,N$9+6&gt;=$G38),1,""))</x:f>
      </x:c>
      <x:c r="O38" s="12" t="str">
        <x:f t="shared" si="6">IF(OR($G38="",$H38="",$H38&lt;$G38),"",IF(AND(O$9&lt;=$H38,O$9+6&gt;=$G38),1,""))</x:f>
      </x:c>
      <x:c r="P38" s="13" t="str">
        <x:f t="shared" si="6">IF(OR($G38="",$H38="",$H38&lt;$G38),"",IF(AND(P$9&lt;=$H38,P$9+6&gt;=$G38),1,""))</x:f>
      </x:c>
      <x:c r="Q38" s="12" t="str">
        <x:f t="shared" si="6">IF(OR($G38="",$H38="",$H38&lt;$G38),"",IF(AND(Q$9&lt;=$H38,Q$9+6&gt;=$G38),1,""))</x:f>
      </x:c>
      <x:c r="R38" s="13" t="str">
        <x:f t="shared" si="6">IF(OR($G38="",$H38="",$H38&lt;$G38),"",IF(AND(R$9&lt;=$H38,R$9+6&gt;=$G38),1,""))</x:f>
      </x:c>
      <x:c r="S38" s="12" t="str">
        <x:f t="shared" si="6">IF(OR($G38="",$H38="",$H38&lt;$G38),"",IF(AND(S$9&lt;=$H38,S$9+6&gt;=$G38),1,""))</x:f>
      </x:c>
      <x:c r="T38" s="13" t="str">
        <x:f t="shared" si="6">IF(OR($G38="",$H38="",$H38&lt;$G38),"",IF(AND(T$9&lt;=$H38,T$9+6&gt;=$G38),1,""))</x:f>
      </x:c>
      <x:c r="U38" s="12" t="str">
        <x:f t="shared" si="7">IF(OR($G38="",$H38="",$H38&lt;$G38),"",IF(AND(U$9&lt;=$H38,U$9+6&gt;=$G38),1,""))</x:f>
      </x:c>
      <x:c r="V38" s="13" t="str">
        <x:f t="shared" si="7">IF(OR($G38="",$H38="",$H38&lt;$G38),"",IF(AND(V$9&lt;=$H38,V$9+6&gt;=$G38),1,""))</x:f>
      </x:c>
      <x:c r="W38" s="12" t="str">
        <x:f t="shared" si="7">IF(OR($G38="",$H38="",$H38&lt;$G38),"",IF(AND(W$9&lt;=$H38,W$9+6&gt;=$G38),1,""))</x:f>
      </x:c>
      <x:c r="X38" s="13" t="str">
        <x:f t="shared" si="7">IF(OR($G38="",$H38="",$H38&lt;$G38),"",IF(AND(X$9&lt;=$H38,X$9+6&gt;=$G38),1,""))</x:f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/>
      <x:c r="C39" s="3"/>
      <x:c r="D39" s="8"/>
      <x:c r="E39" s="8"/>
      <x:c r="F39" s="8"/>
      <x:c r="G39" s="51"/>
      <x:c r="H39" s="51"/>
      <x:c r="I39" s="11" t="str">
        <x:f t="shared" si="1">IF(OR(G39="",H39="",H39&lt;G39),"",H39-G39+1)</x:f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str">
        <x:f t="shared" si="6">IF(OR($G39="",$H39="",$H39&lt;$G39),"",IF(AND(O$9&lt;=$H39,O$9+6&gt;=$G39),1,""))</x:f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  <x:c r="N40" s="15"/>
      <x:c r="O40" s="15"/>
      <x:c r="P40" s="15"/>
      <x:c r="Q40" s="15"/>
      <x:c r="R40" s="15"/>
      <x:c r="S40" s="15"/>
      <x:c r="T40" s="15"/>
      <x:c r="U40" s="15"/>
      <x:c r="V40" s="15"/>
      <x:c r="W40" s="15"/>
      <x:c r="X40" s="15"/>
      <x:c r="Y40" s="15"/>
      <x:c r="Z40" s="15"/>
      <x:c r="AA40" s="15"/>
      <x:c r="AB40" s="15"/>
      <x:c r="AC40" s="15"/>
      <x:c r="AD40" s="15"/>
    </x:row>
    <x:row r="41" ht="24" customHeight="1">
      <x:c r="B41" s="53" t="str">
        <x:v>狀態：Complete 已完成；In Progress 進行中；At Risk 有待解項目；Not Started 未開始。日期由負責人確認後填寫。版本與測試證據請見「版本紀錄」「變更依據」。GitHub 主檔更新後，同檔同步 SVN；完成情形以同步回執為準。</x:v>
      </x:c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4"/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55"/>
    </x:row>
    <x:row r="42" ht="24" customHeight="1">
      <x:c r="B42" s="56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  <x:c r="AA42" s="57"/>
      <x:c r="AB42" s="57"/>
      <x:c r="AC42" s="57"/>
      <x:c r="AD42" s="58"/>
    </x:row>
  </x:sheetData>
  <x:mergeCells>
    <x:mergeCell ref="B8:I8"/>
    <x:mergeCell ref="K8:AD8"/>
    <x:mergeCell ref="B41:AD42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dataValidations count="3">
    <x:dataValidation type="list" sqref="B10:B39">
      <x:formula1>"盤點,紀錄,權責,驗證,GitHub,SVN,同步,核對"</x:formula1>
    </x:dataValidation>
    <x:dataValidation type="list" sqref="E10:E39">
      <x:formula1>"Not Started,In Progress,At Risk,Complete"</x:formula1>
    </x:dataValidation>
    <x:dataValidation type="list" sqref="F10:F39">
      <x:formula1>"P0,P1,P2"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0628B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2" hidden="0" customWidth="1"/>
    <x:col min="5" max="5" width="15" hidden="0" customWidth="1"/>
    <x:col min="6" max="6" width="20" hidden="0" customWidth="1"/>
    <x:col min="7" max="7" width="13" hidden="0" customWidth="1"/>
    <x:col min="8" max="8" width="13" hidden="0" customWidth="1"/>
    <x:col min="9" max="9" width="52" hidden="0" customWidth="1"/>
    <x:col min="10" max="10" width="34" hidden="0" customWidth="1"/>
    <x:col min="11" max="11" width="46" hidden="0" customWidth="1"/>
    <x:col min="12" max="12" width="15" hidden="0" customWidth="1"/>
    <x:col min="13" max="13" width="48" hidden="0" customWidth="1"/>
    <x:col min="14" max="14" width="42" hidden="0" customWidth="1"/>
  </x:cols>
  <x:sheetData>
    <x:row r="1">
      <x:c r="A1" s="60"/>
      <x:c r="B1" s="60"/>
      <x:c r="C1" s="60"/>
      <x:c r="D1" s="60"/>
      <x:c r="E1" s="60"/>
      <x:c r="F1" s="60"/>
      <x:c r="G1" s="60"/>
      <x:c r="H1" s="60"/>
      <x:c r="I1" s="60"/>
      <x:c r="J1" s="60"/>
      <x:c r="K1" s="60"/>
      <x:c r="L1" s="60"/>
      <x:c r="M1" s="60"/>
      <x:c r="N1" s="60"/>
    </x:row>
    <x:row r="2">
      <x:c r="A2" s="66" t="str">
        <x:v>DREAMS1.0 版本紀錄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</x:row>
    <x:row r="3" ht="23" customHeight="1">
      <x:c r="A3" s="68" t="str">
        <x:v>https://github.com/peterchen0122/DREAMS1.0</x:v>
      </x:c>
      <x:c r="B3" s="60"/>
      <x:c r="C3" s="60"/>
      <x:c r="D3" s="60"/>
      <x:c r="E3" s="60"/>
      <x:c r="F3" s="60"/>
      <x:c r="G3" s="60"/>
      <x:c r="H3" s="60"/>
      <x:c r="I3" s="60"/>
      <x:c r="J3" s="60"/>
      <x:c r="K3" s="60"/>
      <x:c r="L3" s="60"/>
      <x:c r="M3" s="60"/>
      <x:c r="N3" s="60"/>
    </x:row>
    <x:row r="4" ht="23" customHeight="1">
      <x:c r="A4" s="60" t="str">
        <x:v>每個平台／建置各列一筆；紀錄日期不等同實際發布日。未知欄位待維護人補齊。</x:v>
      </x:c>
      <x:c r="B4" s="60"/>
      <x:c r="C4" s="60"/>
      <x:c r="D4" s="60"/>
      <x:c r="E4" s="60"/>
      <x:c r="F4" s="60"/>
      <x:c r="G4" s="60"/>
      <x:c r="H4" s="60"/>
      <x:c r="I4" s="60"/>
      <x:c r="J4" s="60"/>
      <x:c r="K4" s="60"/>
      <x:c r="L4" s="60"/>
      <x:c r="M4" s="60"/>
      <x:c r="N4" s="60"/>
    </x:row>
    <x:row r="5" ht="23" customHeight="1">
      <x:c r="A5" s="60" t="str">
        <x:v>紀錄數</x:v>
      </x:c>
      <x:c r="B5" s="60" t="n">
        <x:f>COUNTA($A$9:$A$508)</x:f>
        <x:v>1</x:v>
      </x:c>
      <x:c r="C5" s="60"/>
      <x:c r="D5" s="60" t="str">
        <x:v>已確認發布</x:v>
      </x:c>
      <x:c r="E5" s="60"/>
      <x:c r="F5" s="60" t="n">
        <x:f>COUNTIFS($F$9:$F$508,"已發布")</x:f>
        <x:v>0</x:v>
      </x:c>
      <x:c r="G5" s="60"/>
      <x:c r="H5" s="60" t="str">
        <x:v>已發布缺日期</x:v>
      </x:c>
      <x:c r="I5" s="60" t="n">
        <x:f>COUNTIFS($F$9:$F$508,"已發布")-COUNTIFS($F$9:$F$508,"已發布",$H$9:$H$508,"&gt;0")</x:f>
        <x:v>0</x:v>
      </x:c>
      <x:c r="J5" s="60"/>
      <x:c r="K5" s="60"/>
      <x:c r="L5" s="60"/>
      <x:c r="M5" s="60"/>
      <x:c r="N5" s="60"/>
    </x:row>
    <x:row r="6" ht="23" customHeight="1">
      <x:c r="A6" s="60" t="str">
        <x:v>黃色欄位供維護人補登；同一紀錄 ID 不重複建列。Git 提交、標籤與版本文件皆不單獨證明已上線。</x:v>
      </x:c>
      <x:c r="B6" s="60"/>
      <x:c r="C6" s="60"/>
      <x:c r="D6" s="60"/>
      <x:c r="E6" s="60"/>
      <x:c r="F6" s="60"/>
      <x:c r="G6" s="60"/>
      <x:c r="H6" s="60"/>
      <x:c r="I6" s="60"/>
      <x:c r="J6" s="60"/>
      <x:c r="K6" s="60"/>
      <x:c r="L6" s="60"/>
      <x:c r="M6" s="60"/>
      <x:c r="N6" s="60"/>
    </x:row>
    <x:row r="7">
      <x:c r="A7" s="60"/>
      <x:c r="B7" s="60"/>
      <x:c r="C7" s="60"/>
      <x:c r="D7" s="60"/>
      <x:c r="E7" s="60"/>
      <x:c r="F7" s="60"/>
      <x:c r="G7" s="60"/>
      <x:c r="H7" s="60"/>
      <x:c r="I7" s="60"/>
      <x:c r="J7" s="60"/>
      <x:c r="K7" s="60"/>
      <x:c r="L7" s="60"/>
      <x:c r="M7" s="60"/>
      <x:c r="N7" s="60"/>
    </x:row>
    <x:row r="8" ht="32" customHeight="1">
      <x:c r="A8" s="64" t="str">
        <x:v>紀錄ID</x:v>
      </x:c>
      <x:c r="B8" s="64" t="str">
        <x:v>版本</x:v>
      </x:c>
      <x:c r="C8" s="64" t="str">
        <x:v>平台／元件</x:v>
      </x:c>
      <x:c r="D8" s="64" t="str">
        <x:v>建置號</x:v>
      </x:c>
      <x:c r="E8" s="64" t="str">
        <x:v>紀錄類型</x:v>
      </x:c>
      <x:c r="F8" s="64" t="str">
        <x:v>狀態</x:v>
      </x:c>
      <x:c r="G8" s="64" t="str">
        <x:v>紀錄日期</x:v>
      </x:c>
      <x:c r="H8" s="64" t="str">
        <x:v>實際發布日</x:v>
      </x:c>
      <x:c r="I8" s="64" t="str">
        <x:v>變更摘要</x:v>
      </x:c>
      <x:c r="J8" s="64" t="str">
        <x:v>測試與驗證</x:v>
      </x:c>
      <x:c r="K8" s="64" t="str">
        <x:v>程式基準／Tag</x:v>
      </x:c>
      <x:c r="L8" s="64" t="str">
        <x:v>負責人</x:v>
      </x:c>
      <x:c r="M8" s="64" t="str">
        <x:v>依據連結</x:v>
      </x:c>
      <x:c r="N8" s="64" t="str">
        <x:v>待確認事項</x:v>
      </x:c>
    </x:row>
    <x:row r="9" ht="58" customHeight="1">
      <x:c r="A9" s="65" t="str">
        <x:v>DREAMS1.0-snapshot-27925065c8c2</x:v>
      </x:c>
      <x:c r="B9" s="65" t="str">
        <x:v>0.1.0</x:v>
      </x:c>
      <x:c r="C9" s="65" t="str">
        <x:v>DREAMS Outstation／WEB 操作介面</x:v>
      </x:c>
      <x:c r="D9" s="69" t="str"/>
      <x:c r="E9" s="65" t="str">
        <x:v>程式快照</x:v>
      </x:c>
      <x:c r="F9" s="73" t="str">
        <x:v>待確認發布</x:v>
      </x:c>
      <x:c r="G9" s="71" t="n">
        <x:v>46231</x:v>
      </x:c>
      <x:c r="H9" s="75"/>
      <x:c r="I9" s="65" t="str">
        <x:v>專案宣告版本 0.1.0；目前僅確認原始碼快照，尚無 Git tag 或版本發布文件。</x:v>
      </x:c>
      <x:c r="J9" s="73" t="str">
        <x:v>待補驗證紀錄</x:v>
      </x:c>
      <x:c r="K9" s="65" t="str">
        <x:v>27925065c8c23644ffb5c53c2143fc5b661df336</x:v>
      </x:c>
      <x:c r="L9" s="73" t="str"/>
      <x:c r="M9" s="77" t="str">
        <x:v>https://github.com/peterchen0122/DREAMS1.0/blob/27925065c8c23644ffb5c53c2143fc5b661df336/pyproject.toml#L7</x:v>
      </x:c>
      <x:c r="N9" s="65" t="str">
        <x:v>版本來自專案設定，日期取提交日期；測試清單屬操作規範，不能視為通過紀錄。</x:v>
      </x:c>
    </x:row>
    <x:row r="10" ht="36" customHeight="1">
      <x:c r="A10" s="65"/>
      <x:c r="B10" s="65"/>
      <x:c r="C10" s="65"/>
      <x:c r="D10" s="69"/>
      <x:c r="E10" s="65"/>
      <x:c r="F10" s="73"/>
      <x:c r="G10" s="71"/>
      <x:c r="H10" s="75"/>
      <x:c r="I10" s="65"/>
      <x:c r="J10" s="73"/>
      <x:c r="K10" s="65"/>
      <x:c r="L10" s="73"/>
      <x:c r="M10" s="77"/>
      <x:c r="N10" s="65"/>
    </x:row>
    <x:row r="11" ht="36" customHeight="1">
      <x:c r="A11" s="65"/>
      <x:c r="B11" s="65"/>
      <x:c r="C11" s="65"/>
      <x:c r="D11" s="69"/>
      <x:c r="E11" s="65"/>
      <x:c r="F11" s="73"/>
      <x:c r="G11" s="71"/>
      <x:c r="H11" s="75"/>
      <x:c r="I11" s="65"/>
      <x:c r="J11" s="73"/>
      <x:c r="K11" s="65"/>
      <x:c r="L11" s="73"/>
      <x:c r="M11" s="77"/>
      <x:c r="N11" s="65"/>
    </x:row>
    <x:row r="12" ht="36" customHeight="1">
      <x:c r="A12" s="65"/>
      <x:c r="B12" s="65"/>
      <x:c r="C12" s="65"/>
      <x:c r="D12" s="69"/>
      <x:c r="E12" s="65"/>
      <x:c r="F12" s="73"/>
      <x:c r="G12" s="71"/>
      <x:c r="H12" s="75"/>
      <x:c r="I12" s="65"/>
      <x:c r="J12" s="73"/>
      <x:c r="K12" s="65"/>
      <x:c r="L12" s="73"/>
      <x:c r="M12" s="77"/>
      <x:c r="N12" s="65"/>
    </x:row>
    <x:row r="13" ht="36" customHeight="1">
      <x:c r="A13" s="65"/>
      <x:c r="B13" s="65"/>
      <x:c r="C13" s="65"/>
      <x:c r="D13" s="69"/>
      <x:c r="E13" s="65"/>
      <x:c r="F13" s="73"/>
      <x:c r="G13" s="71"/>
      <x:c r="H13" s="75"/>
      <x:c r="I13" s="65"/>
      <x:c r="J13" s="73"/>
      <x:c r="K13" s="65"/>
      <x:c r="L13" s="73"/>
      <x:c r="M13" s="77"/>
      <x:c r="N13" s="65"/>
    </x:row>
    <x:row r="14" ht="36" customHeight="1">
      <x:c r="A14" s="65"/>
      <x:c r="B14" s="65"/>
      <x:c r="C14" s="65"/>
      <x:c r="D14" s="69"/>
      <x:c r="E14" s="65"/>
      <x:c r="F14" s="73"/>
      <x:c r="G14" s="71"/>
      <x:c r="H14" s="75"/>
      <x:c r="I14" s="65"/>
      <x:c r="J14" s="73"/>
      <x:c r="K14" s="65"/>
      <x:c r="L14" s="73"/>
      <x:c r="M14" s="77"/>
      <x:c r="N14" s="65"/>
    </x:row>
    <x:row r="15" ht="36" customHeight="1">
      <x:c r="A15" s="65"/>
      <x:c r="B15" s="65"/>
      <x:c r="C15" s="65"/>
      <x:c r="D15" s="69"/>
      <x:c r="E15" s="65"/>
      <x:c r="F15" s="73"/>
      <x:c r="G15" s="71"/>
      <x:c r="H15" s="75"/>
      <x:c r="I15" s="65"/>
      <x:c r="J15" s="73"/>
      <x:c r="K15" s="65"/>
      <x:c r="L15" s="73"/>
      <x:c r="M15" s="77"/>
      <x:c r="N15" s="65"/>
    </x:row>
    <x:row r="16" ht="36" customHeight="1">
      <x:c r="A16" s="65"/>
      <x:c r="B16" s="65"/>
      <x:c r="C16" s="65"/>
      <x:c r="D16" s="69"/>
      <x:c r="E16" s="65"/>
      <x:c r="F16" s="73"/>
      <x:c r="G16" s="71"/>
      <x:c r="H16" s="75"/>
      <x:c r="I16" s="65"/>
      <x:c r="J16" s="73"/>
      <x:c r="K16" s="65"/>
      <x:c r="L16" s="73"/>
      <x:c r="M16" s="77"/>
      <x:c r="N16" s="65"/>
    </x:row>
    <x:row r="17" ht="36" customHeight="1">
      <x:c r="A17" s="65"/>
      <x:c r="B17" s="65"/>
      <x:c r="C17" s="65"/>
      <x:c r="D17" s="69"/>
      <x:c r="E17" s="65"/>
      <x:c r="F17" s="73"/>
      <x:c r="G17" s="71"/>
      <x:c r="H17" s="75"/>
      <x:c r="I17" s="65"/>
      <x:c r="J17" s="73"/>
      <x:c r="K17" s="65"/>
      <x:c r="L17" s="73"/>
      <x:c r="M17" s="77"/>
      <x:c r="N17" s="65"/>
    </x:row>
    <x:row r="18" ht="36" customHeight="1">
      <x:c r="A18" s="65"/>
      <x:c r="B18" s="65"/>
      <x:c r="C18" s="65"/>
      <x:c r="D18" s="69"/>
      <x:c r="E18" s="65"/>
      <x:c r="F18" s="73"/>
      <x:c r="G18" s="71"/>
      <x:c r="H18" s="75"/>
      <x:c r="I18" s="65"/>
      <x:c r="J18" s="73"/>
      <x:c r="K18" s="65"/>
      <x:c r="L18" s="73"/>
      <x:c r="M18" s="77"/>
      <x:c r="N18" s="65"/>
    </x:row>
    <x:row r="19" ht="36" customHeight="1">
      <x:c r="A19" s="67"/>
      <x:c r="B19" s="67"/>
      <x:c r="C19" s="67"/>
      <x:c r="D19" s="70"/>
      <x:c r="E19" s="67"/>
      <x:c r="F19" s="74"/>
      <x:c r="G19" s="72"/>
      <x:c r="H19" s="76"/>
      <x:c r="I19" s="67"/>
      <x:c r="J19" s="74"/>
      <x:c r="K19" s="67"/>
      <x:c r="L19" s="74"/>
      <x:c r="M19" s="78"/>
      <x:c r="N19" s="67"/>
    </x:row>
  </x:sheetData>
  <x:conditionalFormatting sqref="F9:F19">
    <x:cfRule type="containsText" dxfId="11" priority="1" operator="containsText" text="待確認"/>
  </x:conditionalFormatting>
  <x:conditionalFormatting sqref="H9:H19">
    <x:cfRule type="expression" dxfId="12" priority="2">
      <x:formula>AND($F9="已發布",NOT(ISNUMBER($H9)))</x:formula>
    </x:cfRule>
  </x:conditionalFormatting>
  <x:conditionalFormatting sqref="A9:A19">
    <x:cfRule type="expression" dxfId="13" priority="3">
      <x:formula>AND($A9&lt;&gt;"",COUNTIFS($A$9:$A$19,$A9)&gt;1)</x:formula>
    </x:cfRule>
  </x:conditionalFormatting>
  <x:conditionalFormatting sqref="I5:I5">
    <x:cfRule type="cellIs" dxfId="14" priority="4" operator="greaterThan">
      <x:formula>0</x:formula>
    </x:cfRule>
  </x:conditionalFormatting>
  <x:dataValidations count="1">
    <x:dataValidation type="list" sqref="F9:F19">
      <x:formula1>"草稿,待確認發布,文件記載已送測,已送測,已發布,已回退,已取消"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1331e8a82c496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47" hidden="0" customWidth="1"/>
    <x:col min="2" max="2" width="14" hidden="0" customWidth="1"/>
    <x:col min="3" max="3" width="76" hidden="0" customWidth="1"/>
    <x:col min="4" max="4" width="16" hidden="0" customWidth="1"/>
    <x:col min="5" max="5" width="75" hidden="0" customWidth="1"/>
  </x:cols>
  <x:sheetData>
    <x:row r="1">
      <x:c r="A1" s="60"/>
      <x:c r="B1" s="60"/>
      <x:c r="C1" s="60"/>
      <x:c r="D1" s="60"/>
      <x:c r="E1" s="60"/>
    </x:row>
    <x:row r="2">
      <x:c r="A2" s="66" t="str">
        <x:v>DREAMS1.0 提交依據</x:v>
      </x:c>
      <x:c r="B2" s="60"/>
      <x:c r="C2" s="60"/>
      <x:c r="D2" s="60"/>
      <x:c r="E2" s="60"/>
    </x:row>
    <x:row r="3">
      <x:c r="A3" s="60" t="str">
        <x:v>最近提交快照，用於追溯程式變更；提交日期不等同發布日期，亦不代表測試已通過。</x:v>
      </x:c>
      <x:c r="B3" s="60"/>
      <x:c r="C3" s="60"/>
      <x:c r="D3" s="60"/>
      <x:c r="E3" s="60"/>
    </x:row>
    <x:row r="4">
      <x:c r="A4" s="60" t="str">
        <x:v>來源分支</x:v>
      </x:c>
      <x:c r="B4" s="60" t="str">
        <x:v>main</x:v>
      </x:c>
      <x:c r="C4" s="60"/>
      <x:c r="D4" s="60"/>
      <x:c r="E4" s="60"/>
    </x:row>
    <x:row r="5">
      <x:c r="A5" s="60" t="str">
        <x:v>盤點日</x:v>
      </x:c>
      <x:c r="B5" s="79" t="n">
        <x:v>46281</x:v>
      </x:c>
      <x:c r="C5" s="60"/>
      <x:c r="D5" s="60"/>
      <x:c r="E5" s="60"/>
    </x:row>
    <x:row r="6">
      <x:c r="A6" s="60"/>
      <x:c r="B6" s="60"/>
      <x:c r="C6" s="60"/>
      <x:c r="D6" s="60"/>
      <x:c r="E6" s="60"/>
    </x:row>
    <x:row r="7">
      <x:c r="A7" s="60"/>
      <x:c r="B7" s="60"/>
      <x:c r="C7" s="60"/>
      <x:c r="D7" s="60"/>
      <x:c r="E7" s="60"/>
    </x:row>
    <x:row r="8" ht="32" customHeight="1">
      <x:c r="A8" s="64" t="str">
        <x:v>Git Commit SHA</x:v>
      </x:c>
      <x:c r="B8" s="64" t="str">
        <x:v>提交日期</x:v>
      </x:c>
      <x:c r="C8" s="64" t="str">
        <x:v>變更摘要</x:v>
      </x:c>
      <x:c r="D8" s="64" t="str">
        <x:v>證據類型</x:v>
      </x:c>
      <x:c r="E8" s="64" t="str">
        <x:v>來源連結</x:v>
      </x:c>
    </x:row>
    <x:row r="9" ht="58" customHeight="1">
      <x:c r="A9" s="65" t="str">
        <x:v>27925065c8c23644ffb5c53c2143fc5b661df336</x:v>
      </x:c>
      <x:c r="B9" s="71" t="n">
        <x:v>46231</x:v>
      </x:c>
      <x:c r="C9" s="65" t="str">
        <x:v>提交訊息為「no message」，內容待補摘要</x:v>
      </x:c>
      <x:c r="D9" s="65" t="str">
        <x:v>Git commit</x:v>
      </x:c>
      <x:c r="E9" s="65" t="str">
        <x:v>https://github.com/peterchen0122/DREAMS1.0/commit/27925065c8c23644ffb5c53c2143fc5b661df336</x:v>
      </x:c>
    </x:row>
    <x:row r="10" ht="58" customHeight="1">
      <x:c r="A10" s="65" t="str">
        <x:v>dbec60465ea1fbbeecb8334ef445d0b81de0e547</x:v>
      </x:c>
      <x:c r="B10" s="71" t="n">
        <x:v>46195</x:v>
      </x:c>
      <x:c r="C10" s="65" t="str">
        <x:v>提交訊息為「no message」，內容待補摘要</x:v>
      </x:c>
      <x:c r="D10" s="65" t="str">
        <x:v>Git commit</x:v>
      </x:c>
      <x:c r="E10" s="65" t="str">
        <x:v>https://github.com/peterchen0122/DREAMS1.0/commit/dbec60465ea1fbbeecb8334ef445d0b81de0e547</x:v>
      </x:c>
    </x:row>
    <x:row r="11" ht="58" customHeight="1">
      <x:c r="A11" s="65" t="str">
        <x:v>24f09b6ded597eb3c8d54d11965e4322f5b1fcb2</x:v>
      </x:c>
      <x:c r="B11" s="71" t="n">
        <x:v>46170</x:v>
      </x:c>
      <x:c r="C11" s="65" t="str">
        <x:v>提交訊息為「no message」，內容待補摘要</x:v>
      </x:c>
      <x:c r="D11" s="65" t="str">
        <x:v>Git commit</x:v>
      </x:c>
      <x:c r="E11" s="65" t="str">
        <x:v>https://github.com/peterchen0122/DREAMS1.0/commit/24f09b6ded597eb3c8d54d11965e4322f5b1fcb2</x:v>
      </x:c>
    </x:row>
    <x:row r="12" ht="58" customHeight="1">
      <x:c r="A12" s="65" t="str">
        <x:v>83e7a348db4cda2b7c8fb603618dee8a8c25d6b0</x:v>
      </x:c>
      <x:c r="B12" s="71" t="n">
        <x:v>46170</x:v>
      </x:c>
      <x:c r="C12" s="65" t="str">
        <x:v>測試驗證（提交標題；不代表已取得測試報告）</x:v>
      </x:c>
      <x:c r="D12" s="65" t="str">
        <x:v>Git commit</x:v>
      </x:c>
      <x:c r="E12" s="65" t="str">
        <x:v>https://github.com/peterchen0122/DREAMS1.0/commit/83e7a348db4cda2b7c8fb603618dee8a8c25d6b0</x:v>
      </x:c>
    </x:row>
    <x:row r="13" ht="58" customHeight="1">
      <x:c r="A13" s="65" t="str">
        <x:v>35eff9e92c166a3abc2e46bf344753040ded1e2e</x:v>
      </x:c>
      <x:c r="B13" s="71" t="n">
        <x:v>46170</x:v>
      </x:c>
      <x:c r="C13" s="65" t="str">
        <x:v>建立 DREAMS Outstation 初始專案</x:v>
      </x:c>
      <x:c r="D13" s="65" t="str">
        <x:v>Git commit</x:v>
      </x:c>
      <x:c r="E13" s="65" t="str">
        <x:v>https://github.com/peterchen0122/DREAMS1.0/commit/35eff9e92c166a3abc2e46bf344753040ded1e2e</x:v>
      </x:c>
    </x:row>
    <x:row r="14" ht="58" customHeight="1">
      <x:c r="A14" s="65"/>
      <x:c r="B14" s="71"/>
      <x:c r="C14" s="65"/>
      <x:c r="D14" s="65"/>
      <x:c r="E14" s="65"/>
    </x:row>
    <x:row r="15" ht="58" customHeight="1">
      <x:c r="A15" s="67"/>
      <x:c r="B15" s="72"/>
      <x:c r="C15" s="67"/>
      <x:c r="D15" s="67"/>
      <x:c r="E15" s="67"/>
    </x:row>
  </x:sheetData>
  <x:pageMargins left="0.7" right="0.7" top="0.75" bottom="0.75" header="0.3" footer="0.3"/>
  <x:tableParts count="1">
    <x:tablePart xmlns:r="http://schemas.openxmlformats.org/officeDocument/2006/relationships" r:id="R0eb1cb24624d49b0"/>
  </x:tableParts>
</x:worksheet>
</file>